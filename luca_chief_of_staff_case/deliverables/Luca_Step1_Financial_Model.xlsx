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eadcount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Loan" sheetId="6" state="visible" r:id="rId6"/>
    <sheet xmlns:r="http://schemas.openxmlformats.org/officeDocument/2006/relationships" name="Runwa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&quot;–&quot;"/>
    <numFmt numFmtId="165" formatCode="0.0%"/>
    <numFmt numFmtId="166" formatCode="€#,##0;(€#,##0);&quot;–&quot;"/>
    <numFmt numFmtId="167" formatCode="&quot;Month &quot;0"/>
    <numFmt numFmtId="168" formatCode="0;(0);&quot;–&quot;"/>
    <numFmt numFmtId="169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2A44"/>
      <sz val="10"/>
    </font>
    <font>
      <name val="Arial"/>
      <sz val="10"/>
    </font>
    <font>
      <name val="Arial"/>
      <b val="1"/>
      <sz val="10"/>
    </font>
    <font>
      <name val="Arial"/>
      <color theme="1"/>
      <sz val="11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7D6"/>
      </patternFill>
    </fill>
    <fill>
      <patternFill patternType="solid">
        <fgColor rgb="00E5E7EB"/>
      </patternFill>
    </fill>
    <fill>
      <patternFill patternType="solid">
        <fgColor rgb="00F3F4F6"/>
      </patternFill>
    </fill>
  </fills>
  <borders count="4">
    <border>
      <left/>
      <right/>
      <top/>
      <bottom/>
      <diagonal/>
    </border>
    <border>
      <top style="thin">
        <color rgb="009CA3AF"/>
      </top>
    </border>
    <border>
      <top style="thin">
        <color rgb="009CA3AF"/>
      </top>
      <bottom style="double">
        <color rgb="009CA3AF"/>
      </bottom>
    </border>
    <border>
      <bottom style="medium">
        <color rgb="000F9D8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8" fillId="5" borderId="0" pivotButton="0" quotePrefix="0" xfId="0"/>
    <xf numFmtId="164" fontId="8" fillId="5" borderId="0" pivotButton="0" quotePrefix="0" xfId="0"/>
    <xf numFmtId="165" fontId="8" fillId="0" borderId="0" pivotButton="0" quotePrefix="0" xfId="0"/>
    <xf numFmtId="164" fontId="8" fillId="0" borderId="0" pivotButton="0" quotePrefix="0" xfId="0"/>
    <xf numFmtId="168" fontId="8" fillId="5" borderId="0" pivotButton="0" quotePrefix="0" xfId="0"/>
    <xf numFmtId="0" fontId="5" fillId="0" borderId="0" pivotButton="0" quotePrefix="0" xfId="0"/>
    <xf numFmtId="164" fontId="4" fillId="3" borderId="0" pivotButton="0" quotePrefix="0" xfId="0"/>
    <xf numFmtId="165" fontId="4" fillId="3" borderId="0" pivotButton="0" quotePrefix="0" xfId="0"/>
    <xf numFmtId="166" fontId="4" fillId="3" borderId="0" pivotButton="0" quotePrefix="0" xfId="0"/>
    <xf numFmtId="1" fontId="4" fillId="3" borderId="0" pivotButton="0" quotePrefix="0" xfId="0"/>
    <xf numFmtId="2" fontId="4" fillId="3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167" fontId="3" fillId="2" borderId="0" applyAlignment="1" pivotButton="0" quotePrefix="0" xfId="0">
      <alignment horizontal="center"/>
    </xf>
    <xf numFmtId="0" fontId="5" fillId="4" borderId="0" pivotButton="0" quotePrefix="0" xfId="0"/>
    <xf numFmtId="0" fontId="6" fillId="0" borderId="0" pivotButton="0" quotePrefix="0" xfId="0"/>
    <xf numFmtId="168" fontId="4" fillId="3" borderId="0" pivotButton="0" quotePrefix="0" xfId="0"/>
    <xf numFmtId="168" fontId="7" fillId="5" borderId="0" pivotButton="0" quotePrefix="0" xfId="0"/>
    <xf numFmtId="0" fontId="7" fillId="0" borderId="1" pivotButton="0" quotePrefix="0" xfId="0"/>
    <xf numFmtId="0" fontId="8" fillId="0" borderId="1" pivotButton="0" quotePrefix="0" xfId="0"/>
    <xf numFmtId="168" fontId="7" fillId="0" borderId="1" pivotButton="0" quotePrefix="0" xfId="0"/>
    <xf numFmtId="168" fontId="7" fillId="5" borderId="1" pivotButton="0" quotePrefix="0" xfId="0"/>
    <xf numFmtId="168" fontId="6" fillId="0" borderId="0" pivotButton="0" quotePrefix="0" xfId="0"/>
    <xf numFmtId="164" fontId="6" fillId="0" borderId="0" pivotButton="0" quotePrefix="0" xfId="0"/>
    <xf numFmtId="164" fontId="7" fillId="5" borderId="0" pivotButton="0" quotePrefix="0" xfId="0"/>
    <xf numFmtId="164" fontId="7" fillId="0" borderId="1" pivotButton="0" quotePrefix="0" xfId="0"/>
    <xf numFmtId="164" fontId="7" fillId="5" borderId="1" pivotButton="0" quotePrefix="0" xfId="0"/>
    <xf numFmtId="0" fontId="7" fillId="0" borderId="0" pivotButton="0" quotePrefix="0" xfId="0"/>
    <xf numFmtId="164" fontId="7" fillId="0" borderId="0" pivotButton="0" quotePrefix="0" xfId="0"/>
    <xf numFmtId="165" fontId="6" fillId="0" borderId="0" pivotButton="0" quotePrefix="0" xfId="0"/>
    <xf numFmtId="165" fontId="7" fillId="5" borderId="0" pivotButton="0" quotePrefix="0" xfId="0"/>
    <xf numFmtId="0" fontId="7" fillId="0" borderId="2" pivotButton="0" quotePrefix="0" xfId="0"/>
    <xf numFmtId="0" fontId="8" fillId="0" borderId="2" pivotButton="0" quotePrefix="0" xfId="0"/>
    <xf numFmtId="164" fontId="7" fillId="0" borderId="2" pivotButton="0" quotePrefix="0" xfId="0"/>
    <xf numFmtId="164" fontId="7" fillId="5" borderId="2" pivotButton="0" quotePrefix="0" xfId="0"/>
    <xf numFmtId="0" fontId="3" fillId="2" borderId="0" applyAlignment="1" pivotButton="0" quotePrefix="0" xfId="0">
      <alignment horizontal="center" wrapText="1"/>
    </xf>
    <xf numFmtId="166" fontId="8" fillId="0" borderId="0" pivotButton="0" quotePrefix="0" xfId="0"/>
    <xf numFmtId="0" fontId="8" fillId="0" borderId="3" pivotButton="0" quotePrefix="0" xfId="0"/>
    <xf numFmtId="166" fontId="8" fillId="0" borderId="3" pivotButton="0" quotePrefix="0" xfId="0"/>
    <xf numFmtId="164" fontId="8" fillId="0" borderId="3" pivotButton="0" quotePrefix="0" xfId="0"/>
    <xf numFmtId="0" fontId="7" fillId="5" borderId="0" pivotButton="0" quotePrefix="0" xfId="0"/>
    <xf numFmtId="166" fontId="7" fillId="5" borderId="0" pivotButton="0" quotePrefix="0" xfId="0"/>
    <xf numFmtId="169" fontId="6" fillId="0" borderId="0" applyAlignment="1" pivotButton="0" quotePrefix="0" xfId="0">
      <alignment horizontal="right"/>
    </xf>
    <xf numFmtId="169" fontId="7" fillId="5" borderId="0" pivotButton="0" quotePrefix="0" xfId="0"/>
    <xf numFmtId="1" fontId="7" fillId="0" borderId="0" pivotButton="0" quotePrefix="0" xfId="0"/>
    <xf numFmtId="0" fontId="7" fillId="5" borderId="0" applyAlignment="1" pivotButton="0" quotePrefix="0" xfId="0">
      <alignment horizontal="left"/>
    </xf>
    <xf numFmtId="0" fontId="7" fillId="5" borderId="0" applyAlignment="1" pivotButton="0" quotePrefix="0" xfId="0">
      <alignment horizontal="right"/>
    </xf>
  </cellXfs>
  <cellStyles count="1">
    <cellStyle name="Normal" xfId="0" builtinId="0" hidden="0"/>
  </cellStyles>
  <dxfs count="1"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position: with vs. without loan</a:t>
            </a:r>
          </a:p>
        </rich>
      </tx>
    </title>
    <plotArea>
      <lineChart>
        <grouping val="standard"/>
        <ser>
          <idx val="0"/>
          <order val="0"/>
          <tx>
            <v>Without loan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'Runway'!$C$4:$N$4</f>
            </numRef>
          </cat>
          <val>
            <numRef>
              <f>'Runway'!$C$9:$N$9</f>
            </numRef>
          </val>
        </ser>
        <ser>
          <idx val="1"/>
          <order val="1"/>
          <tx>
            <v>With €500k loan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'Runway'!$C$4:$N$4</f>
            </numRef>
          </cat>
          <val>
            <numRef>
              <f>'Runway'!$C$17:$N$17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22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F9D8A"/>
    <outlinePr summaryBelow="1" summaryRight="1"/>
    <pageSetUpPr fitToPage="1"/>
  </sheetPr>
  <dimension ref="A1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Luca – 12-month financial model</t>
        </is>
      </c>
      <c r="B1" s="2" t="n"/>
      <c r="C1" s="2" t="n"/>
      <c r="D1" s="2" t="n"/>
      <c r="E1" s="2" t="n"/>
    </row>
    <row r="2">
      <c r="A2" s="3" t="inlineStr">
        <is>
          <t>All data fictional. Inputs are on the Assumptions and Headcount tabs.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4" t="inlineStr">
        <is>
          <t>Key figures</t>
        </is>
      </c>
      <c r="C4" s="4" t="inlineStr">
        <is>
          <t>Month 1</t>
        </is>
      </c>
      <c r="D4" s="4" t="inlineStr">
        <is>
          <t>Month 12</t>
        </is>
      </c>
      <c r="E4" s="4" t="inlineStr">
        <is>
          <t>12-month total</t>
        </is>
      </c>
    </row>
    <row r="5">
      <c r="A5" s="2" t="n"/>
      <c r="B5" s="5" t="inlineStr">
        <is>
          <t>Revenue</t>
        </is>
      </c>
      <c r="C5" s="6">
        <f>'P&amp;L'!C7</f>
        <v/>
      </c>
      <c r="D5" s="6">
        <f>'P&amp;L'!N7</f>
        <v/>
      </c>
      <c r="E5" s="6">
        <f>'P&amp;L'!O7</f>
        <v/>
      </c>
    </row>
    <row r="6">
      <c r="A6" s="2" t="n"/>
      <c r="B6" s="2" t="inlineStr">
        <is>
          <t>Gross margin %</t>
        </is>
      </c>
      <c r="C6" s="7">
        <f>'P&amp;L'!C8</f>
        <v/>
      </c>
      <c r="D6" s="7">
        <f>'P&amp;L'!N8</f>
        <v/>
      </c>
      <c r="E6" s="7">
        <f>'P&amp;L'!O8</f>
        <v/>
      </c>
    </row>
    <row r="7">
      <c r="A7" s="2" t="n"/>
      <c r="B7" s="5" t="inlineStr">
        <is>
          <t>Total operating expenses</t>
        </is>
      </c>
      <c r="C7" s="6">
        <f>-'P&amp;L'!C18</f>
        <v/>
      </c>
      <c r="D7" s="6">
        <f>-'P&amp;L'!N18</f>
        <v/>
      </c>
      <c r="E7" s="6">
        <f>-'P&amp;L'!O18</f>
        <v/>
      </c>
    </row>
    <row r="8">
      <c r="A8" s="2" t="n"/>
      <c r="B8" s="2" t="inlineStr">
        <is>
          <t>Operating profit</t>
        </is>
      </c>
      <c r="C8" s="8">
        <f>'P&amp;L'!C20</f>
        <v/>
      </c>
      <c r="D8" s="8">
        <f>'P&amp;L'!N20</f>
        <v/>
      </c>
      <c r="E8" s="8">
        <f>'P&amp;L'!O20</f>
        <v/>
      </c>
    </row>
    <row r="9">
      <c r="A9" s="2" t="n"/>
      <c r="B9" s="5" t="inlineStr">
        <is>
          <t>Headcount (new hires, end of month)</t>
        </is>
      </c>
      <c r="C9" s="9">
        <f>Headcount!C14</f>
        <v/>
      </c>
      <c r="D9" s="9">
        <f>Headcount!N14</f>
        <v/>
      </c>
      <c r="E9" s="9" t="n"/>
    </row>
    <row r="10">
      <c r="A10" s="2" t="n"/>
      <c r="B10" s="2" t="inlineStr">
        <is>
          <t>Cash position – without loan</t>
        </is>
      </c>
      <c r="C10" s="8">
        <f>Runway!C9</f>
        <v/>
      </c>
      <c r="D10" s="8">
        <f>Runway!N9</f>
        <v/>
      </c>
      <c r="E10" s="8" t="n"/>
    </row>
    <row r="11">
      <c r="A11" s="2" t="n"/>
      <c r="B11" s="5" t="inlineStr">
        <is>
          <t>Cash position – with loan</t>
        </is>
      </c>
      <c r="C11" s="6">
        <f>Runway!C17</f>
        <v/>
      </c>
      <c r="D11" s="6">
        <f>Runway!N17</f>
        <v/>
      </c>
      <c r="E11" s="6" t="n"/>
    </row>
    <row r="12">
      <c r="A12" s="2" t="n"/>
      <c r="B12" s="2" t="inlineStr">
        <is>
          <t>Runway – without loan</t>
        </is>
      </c>
      <c r="C12" s="8" t="n"/>
      <c r="D12" s="8" t="n"/>
      <c r="E12" s="8">
        <f>Runway!C30</f>
        <v/>
      </c>
    </row>
    <row r="13">
      <c r="A13" s="2" t="n"/>
      <c r="B13" s="5" t="inlineStr">
        <is>
          <t>Runway – with loan</t>
        </is>
      </c>
      <c r="C13" s="6" t="n"/>
      <c r="D13" s="6" t="n"/>
      <c r="E13" s="6">
        <f>Runway!D30</f>
        <v/>
      </c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10" t="inlineStr">
        <is>
          <t>Tabs</t>
        </is>
      </c>
      <c r="C16" s="2" t="n"/>
      <c r="D16" s="2" t="n"/>
      <c r="E16" s="2" t="n"/>
    </row>
    <row r="17">
      <c r="A17" s="2" t="n"/>
      <c r="B17" s="2" t="inlineStr">
        <is>
          <t>Assumptions – every number from the case brief, plus opening cash (my assumption).</t>
        </is>
      </c>
      <c r="C17" s="2" t="n"/>
      <c r="D17" s="2" t="n"/>
      <c r="E17" s="2" t="n"/>
    </row>
    <row r="18">
      <c r="A18" s="2" t="n"/>
      <c r="B18" s="2" t="inlineStr">
        <is>
          <t>Headcount – new senior / junior hires per month → headcount and people costs.</t>
        </is>
      </c>
      <c r="C18" s="2" t="n"/>
      <c r="D18" s="2" t="n"/>
      <c r="E18" s="2" t="n"/>
    </row>
    <row r="19">
      <c r="A19" s="2" t="n"/>
      <c r="B19" s="2" t="inlineStr">
        <is>
          <t>P&amp;L – revenue, gross margin, costs, operating profit; net profit with and without loan interest.</t>
        </is>
      </c>
      <c r="C19" s="2" t="n"/>
      <c r="D19" s="2" t="n"/>
      <c r="E19" s="2" t="n"/>
    </row>
    <row r="20">
      <c r="A20" s="2" t="n"/>
      <c r="B20" s="2" t="inlineStr">
        <is>
          <t>Cash Flow – indirect method, once without the loan and once with it.</t>
        </is>
      </c>
      <c r="C20" s="2" t="n"/>
      <c r="D20" s="2" t="n"/>
      <c r="E20" s="2" t="n"/>
    </row>
    <row r="21">
      <c r="A21" s="2" t="n"/>
      <c r="B21" s="2" t="inlineStr">
        <is>
          <t>Loan – 24-month repayment schedule in EUR and USD.</t>
        </is>
      </c>
      <c r="C21" s="2" t="n"/>
      <c r="D21" s="2" t="n"/>
      <c r="E21" s="2" t="n"/>
    </row>
    <row r="22">
      <c r="A22" s="2" t="n"/>
      <c r="B22" s="2" t="inlineStr">
        <is>
          <t>Runway – monthly and cumulative cash position, burn and runway, with vs. without the loan.</t>
        </is>
      </c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10" t="inlineStr">
        <is>
          <t>Note</t>
        </is>
      </c>
      <c r="C24" s="2" t="n"/>
      <c r="D24" s="2" t="n"/>
      <c r="E24" s="2" t="n"/>
    </row>
    <row r="25">
      <c r="A25" s="2" t="n"/>
      <c r="B25" s="3" t="inlineStr">
        <is>
          <t>Runway isn't a real constraint in this case. Luca generates $0.9–1.5M of cash every month (about $13.6M</t>
        </is>
      </c>
      <c r="C25" s="2" t="n"/>
      <c r="D25" s="2" t="n"/>
      <c r="E25" s="2" t="n"/>
    </row>
    <row r="26">
      <c r="A26" s="2" t="n"/>
      <c r="B26" s="3" t="inlineStr">
        <is>
          <t>over the 12 months), and I don't have the company's overall cost base: the model only includes the</t>
        </is>
      </c>
      <c r="C26" s="2" t="n"/>
      <c r="D26" s="2" t="n"/>
      <c r="E26" s="2" t="n"/>
    </row>
    <row r="27">
      <c r="A27" s="2" t="n"/>
      <c r="B27" s="3" t="inlineStr">
        <is>
          <t>25 new hires, overhead and G&amp;A.</t>
        </is>
      </c>
      <c r="C27" s="2" t="n"/>
      <c r="D27" s="2" t="n"/>
      <c r="E27" s="2" t="n"/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D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80" customWidth="1" min="4" max="4"/>
  </cols>
  <sheetData>
    <row r="1">
      <c r="A1" s="1" t="inlineStr">
        <is>
          <t>Assumptions</t>
        </is>
      </c>
      <c r="B1" s="2" t="n"/>
      <c r="C1" s="2" t="n"/>
      <c r="D1" s="2" t="n"/>
    </row>
    <row r="2">
      <c r="A2" s="3" t="inlineStr">
        <is>
          <t>Blue cells on yellow are inputs; everything else in the workbook is a formula. All values come from the case brief except where the Source column says otherwise.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4" t="inlineStr">
        <is>
          <t>Revenue</t>
        </is>
      </c>
      <c r="C4" s="4" t="inlineStr">
        <is>
          <t>Value</t>
        </is>
      </c>
      <c r="D4" s="4" t="inlineStr">
        <is>
          <t>Source</t>
        </is>
      </c>
    </row>
    <row r="5">
      <c r="A5" s="2" t="n"/>
      <c r="B5" s="2" t="inlineStr">
        <is>
          <t>Starting monthly revenue (Month 1)</t>
        </is>
      </c>
      <c r="C5" s="11" t="n">
        <v>1500000</v>
      </c>
      <c r="D5" s="3" t="inlineStr">
        <is>
          <t>Case brief.</t>
        </is>
      </c>
    </row>
    <row r="6">
      <c r="A6" s="2" t="n"/>
      <c r="B6" s="2" t="inlineStr">
        <is>
          <t>Growth, month over month (compound)</t>
        </is>
      </c>
      <c r="C6" s="12" t="n">
        <v>0.06</v>
      </c>
      <c r="D6" s="3" t="inlineStr">
        <is>
          <t>Case brief.</t>
        </is>
      </c>
    </row>
    <row r="7">
      <c r="A7" s="2" t="n"/>
      <c r="B7" s="2" t="inlineStr">
        <is>
          <t>Gross margin, Month 1</t>
        </is>
      </c>
      <c r="C7" s="12" t="n">
        <v>0.65</v>
      </c>
      <c r="D7" s="3" t="inlineStr">
        <is>
          <t>Case brief.</t>
        </is>
      </c>
    </row>
    <row r="8">
      <c r="A8" s="2" t="n"/>
      <c r="B8" s="2" t="inlineStr">
        <is>
          <t>Gross margin, Month 12</t>
        </is>
      </c>
      <c r="C8" s="12" t="n">
        <v>0.6</v>
      </c>
      <c r="D8" s="3" t="inlineStr">
        <is>
          <t>Case brief. Compresses in equal steps between Month 1 and Month 12 (about −0.45 points a month).</t>
        </is>
      </c>
    </row>
    <row r="9">
      <c r="A9" s="2" t="n"/>
      <c r="B9" s="2" t="n"/>
      <c r="C9" s="2" t="n"/>
      <c r="D9" s="2" t="n"/>
    </row>
    <row r="10">
      <c r="A10" s="2" t="n"/>
      <c r="B10" s="4" t="inlineStr">
        <is>
          <t>Hiring</t>
        </is>
      </c>
      <c r="C10" s="4" t="inlineStr">
        <is>
          <t>Value</t>
        </is>
      </c>
      <c r="D10" s="4" t="inlineStr">
        <is>
          <t>Source</t>
        </is>
      </c>
    </row>
    <row r="11">
      <c r="A11" s="2" t="n"/>
      <c r="B11" s="2" t="inlineStr">
        <is>
          <t>Junior salary (per month)</t>
        </is>
      </c>
      <c r="C11" s="11" t="n">
        <v>3000</v>
      </c>
      <c r="D11" s="3" t="inlineStr">
        <is>
          <t>Case brief.</t>
        </is>
      </c>
    </row>
    <row r="12">
      <c r="A12" s="2" t="n"/>
      <c r="B12" s="2" t="inlineStr">
        <is>
          <t>Senior salary (per month)</t>
        </is>
      </c>
      <c r="C12" s="11" t="n">
        <v>6000</v>
      </c>
      <c r="D12" s="3" t="inlineStr">
        <is>
          <t>Case brief.</t>
        </is>
      </c>
    </row>
    <row r="13">
      <c r="A13" s="2" t="n"/>
      <c r="B13" s="2" t="inlineStr">
        <is>
          <t>Hiring cost (one-off, per hire)</t>
        </is>
      </c>
      <c r="C13" s="11" t="n">
        <v>6000</v>
      </c>
      <c r="D13" s="3" t="inlineStr">
        <is>
          <t>Case brief. Booked in the month the person starts.</t>
        </is>
      </c>
    </row>
    <row r="14">
      <c r="A14" s="2" t="n"/>
      <c r="B14" s="2" t="inlineStr">
        <is>
          <t>Benefits (% of total salary)</t>
        </is>
      </c>
      <c r="C14" s="12" t="n">
        <v>0.15</v>
      </c>
      <c r="D14" s="3" t="inlineStr">
        <is>
          <t>Case brief.</t>
        </is>
      </c>
    </row>
    <row r="15">
      <c r="A15" s="2" t="n"/>
      <c r="B15" s="3" t="inlineStr">
        <is>
          <t>The 25 hires and their start months are set on the Headcount tab.</t>
        </is>
      </c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4" t="inlineStr">
        <is>
          <t>Operating expenses</t>
        </is>
      </c>
      <c r="C17" s="4" t="inlineStr">
        <is>
          <t>Value</t>
        </is>
      </c>
      <c r="D17" s="4" t="inlineStr">
        <is>
          <t>Source</t>
        </is>
      </c>
    </row>
    <row r="18">
      <c r="A18" s="2" t="n"/>
      <c r="B18" s="2" t="inlineStr">
        <is>
          <t>Overhead, Month 1 (per month)</t>
        </is>
      </c>
      <c r="C18" s="11" t="n">
        <v>40000</v>
      </c>
      <c r="D18" s="3" t="inlineStr">
        <is>
          <t>Case brief.</t>
        </is>
      </c>
    </row>
    <row r="19">
      <c r="A19" s="2" t="n"/>
      <c r="B19" s="2" t="inlineStr">
        <is>
          <t>Overhead growth over 12 months</t>
        </is>
      </c>
      <c r="C19" s="12" t="n">
        <v>0.15</v>
      </c>
      <c r="D19" s="3" t="inlineStr">
        <is>
          <t>Case brief allows linear or another approach. Chosen: linear, so it rises by the same amount each month, from $40,000 in Month 1 to $46,000 in Month 12.</t>
        </is>
      </c>
    </row>
    <row r="20">
      <c r="A20" s="2" t="n"/>
      <c r="B20" s="2" t="inlineStr">
        <is>
          <t>G&amp;A / Legal (per month, fixed)</t>
        </is>
      </c>
      <c r="C20" s="11" t="n">
        <v>20000</v>
      </c>
      <c r="D20" s="3" t="inlineStr">
        <is>
          <t>Case brief.</t>
        </is>
      </c>
    </row>
    <row r="21">
      <c r="A21" s="2" t="n"/>
      <c r="B21" s="2" t="n"/>
      <c r="C21" s="2" t="n"/>
      <c r="D21" s="2" t="n"/>
    </row>
    <row r="22">
      <c r="A22" s="2" t="n"/>
      <c r="B22" s="4" t="inlineStr">
        <is>
          <t>Cash</t>
        </is>
      </c>
      <c r="C22" s="4" t="inlineStr">
        <is>
          <t>Value</t>
        </is>
      </c>
      <c r="D22" s="4" t="inlineStr">
        <is>
          <t>Source</t>
        </is>
      </c>
    </row>
    <row r="23">
      <c r="A23" s="2" t="n"/>
      <c r="B23" s="2" t="inlineStr">
        <is>
          <t>Opening cash balance (start of Month 1)</t>
        </is>
      </c>
      <c r="C23" s="11" t="n">
        <v>3000000</v>
      </c>
      <c r="D23" s="3" t="inlineStr">
        <is>
          <t>MY ASSUMPTION (not in brief): needed to calculate cash position and runway. Change it freely.</t>
        </is>
      </c>
    </row>
    <row r="24">
      <c r="A24" s="2" t="n"/>
      <c r="B24" s="2" t="n"/>
      <c r="C24" s="2" t="n"/>
      <c r="D24" s="2" t="n"/>
    </row>
    <row r="25">
      <c r="A25" s="2" t="n"/>
      <c r="B25" s="4" t="inlineStr">
        <is>
          <t>Loan scenario</t>
        </is>
      </c>
      <c r="C25" s="4" t="inlineStr">
        <is>
          <t>Value</t>
        </is>
      </c>
      <c r="D25" s="4" t="inlineStr">
        <is>
          <t>Source</t>
        </is>
      </c>
    </row>
    <row r="26">
      <c r="A26" s="2" t="n"/>
      <c r="B26" s="2" t="inlineStr">
        <is>
          <t>Loan amount (EUR)</t>
        </is>
      </c>
      <c r="C26" s="13" t="n">
        <v>500000</v>
      </c>
      <c r="D26" s="3" t="inlineStr">
        <is>
          <t>Case brief. Assumed received in full in Month 1.</t>
        </is>
      </c>
    </row>
    <row r="27">
      <c r="A27" s="2" t="n"/>
      <c r="B27" s="2" t="inlineStr">
        <is>
          <t>Interest rate (annual)</t>
        </is>
      </c>
      <c r="C27" s="12" t="n">
        <v>0.06</v>
      </c>
      <c r="D27" s="3" t="inlineStr">
        <is>
          <t>Case brief. 0.5% per month.</t>
        </is>
      </c>
    </row>
    <row r="28">
      <c r="A28" s="2" t="n"/>
      <c r="B28" s="2" t="inlineStr">
        <is>
          <t>Term (months)</t>
        </is>
      </c>
      <c r="C28" s="14" t="n">
        <v>24</v>
      </c>
      <c r="D28" s="3" t="inlineStr">
        <is>
          <t>Case brief.</t>
        </is>
      </c>
    </row>
    <row r="29">
      <c r="A29" s="2" t="n"/>
      <c r="B29" s="2" t="inlineStr">
        <is>
          <t>Interest-only months</t>
        </is>
      </c>
      <c r="C29" s="14" t="n">
        <v>6</v>
      </c>
      <c r="D29" s="3" t="inlineStr">
        <is>
          <t>Case brief. Then equal monthly payments over the remaining 18 months.</t>
        </is>
      </c>
    </row>
    <row r="30">
      <c r="A30" s="2" t="n"/>
      <c r="B30" s="2" t="inlineStr">
        <is>
          <t>FX rate (USD per EUR)</t>
        </is>
      </c>
      <c r="C30" s="15" t="n">
        <v>1.1</v>
      </c>
      <c r="D30" s="3" t="inlineStr">
        <is>
          <t>Case brief.</t>
        </is>
      </c>
    </row>
    <row r="31">
      <c r="A31" s="2" t="n"/>
      <c r="B31" s="2" t="n"/>
      <c r="C31" s="2" t="n"/>
      <c r="D31" s="2" t="n"/>
    </row>
    <row r="32">
      <c r="A32" s="2" t="n"/>
      <c r="B32" s="10" t="inlineStr">
        <is>
          <t>Not modelled because the brief does not mention them:</t>
        </is>
      </c>
      <c r="C32" s="2" t="n"/>
      <c r="D32" s="2" t="n"/>
    </row>
    <row r="33">
      <c r="A33" s="2" t="n"/>
      <c r="B33" s="3" t="inlineStr">
        <is>
          <t>income tax, depreciation, customer payment delays (receivables), supplier payment terms and capital expenditure. Revenue is treated as collected, and costs as paid, in the month they occur.</t>
        </is>
      </c>
      <c r="C33" s="2" t="n"/>
      <c r="D33" s="2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1F2A44"/>
    <outlinePr summaryBelow="1" summaryRight="1"/>
    <pageSetUpPr fitToPage="1"/>
  </sheetPr>
  <dimension ref="A1:O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4" customWidth="1" min="15" max="15"/>
  </cols>
  <sheetData>
    <row r="1">
      <c r="A1" s="1" t="inlineStr">
        <is>
          <t>Headcount plan &amp; hiring costs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Enter new senior and junior hires per month (blue cells). The case requires 25 hires within Months 1–6.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16" t="inlineStr">
        <is>
          <t>USD</t>
        </is>
      </c>
      <c r="B4" s="17" t="n"/>
      <c r="C4" s="18" t="n">
        <v>1</v>
      </c>
      <c r="D4" s="18" t="n">
        <v>2</v>
      </c>
      <c r="E4" s="18" t="n">
        <v>3</v>
      </c>
      <c r="F4" s="18" t="n">
        <v>4</v>
      </c>
      <c r="G4" s="18" t="n">
        <v>5</v>
      </c>
      <c r="H4" s="18" t="n">
        <v>6</v>
      </c>
      <c r="I4" s="18" t="n">
        <v>7</v>
      </c>
      <c r="J4" s="18" t="n">
        <v>8</v>
      </c>
      <c r="K4" s="18" t="n">
        <v>9</v>
      </c>
      <c r="L4" s="18" t="n">
        <v>10</v>
      </c>
      <c r="M4" s="18" t="n">
        <v>11</v>
      </c>
      <c r="N4" s="18" t="n">
        <v>12</v>
      </c>
      <c r="O4" s="17" t="inlineStr">
        <is>
          <t>12-month total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19" t="inlineStr">
        <is>
          <t>New hires (input)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</row>
    <row r="7">
      <c r="A7" s="20" t="inlineStr">
        <is>
          <t>New senior hires</t>
        </is>
      </c>
      <c r="B7" s="2" t="n"/>
      <c r="C7" s="21" t="n">
        <v>3</v>
      </c>
      <c r="D7" s="21" t="n">
        <v>2</v>
      </c>
      <c r="E7" s="21" t="n">
        <v>2</v>
      </c>
      <c r="F7" s="21" t="n">
        <v>1</v>
      </c>
      <c r="G7" s="21" t="n">
        <v>1</v>
      </c>
      <c r="H7" s="21" t="n">
        <v>1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2">
        <f>SUM(C7:N7)</f>
        <v/>
      </c>
    </row>
    <row r="8">
      <c r="A8" s="20" t="inlineStr">
        <is>
          <t>New junior hires</t>
        </is>
      </c>
      <c r="B8" s="2" t="n"/>
      <c r="C8" s="21" t="n">
        <v>2</v>
      </c>
      <c r="D8" s="21" t="n">
        <v>3</v>
      </c>
      <c r="E8" s="21" t="n">
        <v>3</v>
      </c>
      <c r="F8" s="21" t="n">
        <v>3</v>
      </c>
      <c r="G8" s="21" t="n">
        <v>2</v>
      </c>
      <c r="H8" s="21" t="n">
        <v>2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2">
        <f>SUM(C8:N8)</f>
        <v/>
      </c>
    </row>
    <row r="9">
      <c r="A9" s="23" t="inlineStr">
        <is>
          <t>Total new hires</t>
        </is>
      </c>
      <c r="B9" s="24" t="n"/>
      <c r="C9" s="25">
        <f>C7+C8</f>
        <v/>
      </c>
      <c r="D9" s="25">
        <f>D7+D8</f>
        <v/>
      </c>
      <c r="E9" s="25">
        <f>E7+E8</f>
        <v/>
      </c>
      <c r="F9" s="25">
        <f>F7+F8</f>
        <v/>
      </c>
      <c r="G9" s="25">
        <f>G7+G8</f>
        <v/>
      </c>
      <c r="H9" s="25">
        <f>H7+H8</f>
        <v/>
      </c>
      <c r="I9" s="25">
        <f>I7+I8</f>
        <v/>
      </c>
      <c r="J9" s="25">
        <f>J7+J8</f>
        <v/>
      </c>
      <c r="K9" s="25">
        <f>K7+K8</f>
        <v/>
      </c>
      <c r="L9" s="25">
        <f>L7+L8</f>
        <v/>
      </c>
      <c r="M9" s="25">
        <f>M7+M8</f>
        <v/>
      </c>
      <c r="N9" s="25">
        <f>N7+N8</f>
        <v/>
      </c>
      <c r="O9" s="26">
        <f>SUM(C9:N9)</f>
        <v/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19" t="inlineStr">
        <is>
          <t>Headcount at end of month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</row>
    <row r="12">
      <c r="A12" s="20" t="inlineStr">
        <is>
          <t>Senior</t>
        </is>
      </c>
      <c r="B12" s="2" t="n"/>
      <c r="C12" s="27">
        <f>SUM($C7:C7)</f>
        <v/>
      </c>
      <c r="D12" s="27">
        <f>SUM($C7:D7)</f>
        <v/>
      </c>
      <c r="E12" s="27">
        <f>SUM($C7:E7)</f>
        <v/>
      </c>
      <c r="F12" s="27">
        <f>SUM($C7:F7)</f>
        <v/>
      </c>
      <c r="G12" s="27">
        <f>SUM($C7:G7)</f>
        <v/>
      </c>
      <c r="H12" s="27">
        <f>SUM($C7:H7)</f>
        <v/>
      </c>
      <c r="I12" s="27">
        <f>SUM($C7:I7)</f>
        <v/>
      </c>
      <c r="J12" s="27">
        <f>SUM($C7:J7)</f>
        <v/>
      </c>
      <c r="K12" s="27">
        <f>SUM($C7:K7)</f>
        <v/>
      </c>
      <c r="L12" s="27">
        <f>SUM($C7:L7)</f>
        <v/>
      </c>
      <c r="M12" s="27">
        <f>SUM($C7:M7)</f>
        <v/>
      </c>
      <c r="N12" s="27">
        <f>SUM($C7:N7)</f>
        <v/>
      </c>
      <c r="O12" s="22">
        <f>N12</f>
        <v/>
      </c>
    </row>
    <row r="13">
      <c r="A13" s="20" t="inlineStr">
        <is>
          <t>Junior</t>
        </is>
      </c>
      <c r="B13" s="2" t="n"/>
      <c r="C13" s="27">
        <f>SUM($C8:C8)</f>
        <v/>
      </c>
      <c r="D13" s="27">
        <f>SUM($C8:D8)</f>
        <v/>
      </c>
      <c r="E13" s="27">
        <f>SUM($C8:E8)</f>
        <v/>
      </c>
      <c r="F13" s="27">
        <f>SUM($C8:F8)</f>
        <v/>
      </c>
      <c r="G13" s="27">
        <f>SUM($C8:G8)</f>
        <v/>
      </c>
      <c r="H13" s="27">
        <f>SUM($C8:H8)</f>
        <v/>
      </c>
      <c r="I13" s="27">
        <f>SUM($C8:I8)</f>
        <v/>
      </c>
      <c r="J13" s="27">
        <f>SUM($C8:J8)</f>
        <v/>
      </c>
      <c r="K13" s="27">
        <f>SUM($C8:K8)</f>
        <v/>
      </c>
      <c r="L13" s="27">
        <f>SUM($C8:L8)</f>
        <v/>
      </c>
      <c r="M13" s="27">
        <f>SUM($C8:M8)</f>
        <v/>
      </c>
      <c r="N13" s="27">
        <f>SUM($C8:N8)</f>
        <v/>
      </c>
      <c r="O13" s="22">
        <f>N13</f>
        <v/>
      </c>
    </row>
    <row r="14">
      <c r="A14" s="23" t="inlineStr">
        <is>
          <t>Total headcount (new hires)</t>
        </is>
      </c>
      <c r="B14" s="24" t="n"/>
      <c r="C14" s="25">
        <f>C12+C13</f>
        <v/>
      </c>
      <c r="D14" s="25">
        <f>D12+D13</f>
        <v/>
      </c>
      <c r="E14" s="25">
        <f>E12+E13</f>
        <v/>
      </c>
      <c r="F14" s="25">
        <f>F12+F13</f>
        <v/>
      </c>
      <c r="G14" s="25">
        <f>G12+G13</f>
        <v/>
      </c>
      <c r="H14" s="25">
        <f>H12+H13</f>
        <v/>
      </c>
      <c r="I14" s="25">
        <f>I12+I13</f>
        <v/>
      </c>
      <c r="J14" s="25">
        <f>J12+J13</f>
        <v/>
      </c>
      <c r="K14" s="25">
        <f>K12+K13</f>
        <v/>
      </c>
      <c r="L14" s="25">
        <f>L12+L13</f>
        <v/>
      </c>
      <c r="M14" s="25">
        <f>M12+M13</f>
        <v/>
      </c>
      <c r="N14" s="25">
        <f>N12+N13</f>
        <v/>
      </c>
      <c r="O14" s="26">
        <f>N14</f>
        <v/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19" t="inlineStr">
        <is>
          <t>People costs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</row>
    <row r="17">
      <c r="A17" s="20" t="inlineStr">
        <is>
          <t>Salaries</t>
        </is>
      </c>
      <c r="B17" s="2" t="n"/>
      <c r="C17" s="28">
        <f>C12*Assumptions!$C$12+C13*Assumptions!$C$11</f>
        <v/>
      </c>
      <c r="D17" s="28">
        <f>D12*Assumptions!$C$12+D13*Assumptions!$C$11</f>
        <v/>
      </c>
      <c r="E17" s="28">
        <f>E12*Assumptions!$C$12+E13*Assumptions!$C$11</f>
        <v/>
      </c>
      <c r="F17" s="28">
        <f>F12*Assumptions!$C$12+F13*Assumptions!$C$11</f>
        <v/>
      </c>
      <c r="G17" s="28">
        <f>G12*Assumptions!$C$12+G13*Assumptions!$C$11</f>
        <v/>
      </c>
      <c r="H17" s="28">
        <f>H12*Assumptions!$C$12+H13*Assumptions!$C$11</f>
        <v/>
      </c>
      <c r="I17" s="28">
        <f>I12*Assumptions!$C$12+I13*Assumptions!$C$11</f>
        <v/>
      </c>
      <c r="J17" s="28">
        <f>J12*Assumptions!$C$12+J13*Assumptions!$C$11</f>
        <v/>
      </c>
      <c r="K17" s="28">
        <f>K12*Assumptions!$C$12+K13*Assumptions!$C$11</f>
        <v/>
      </c>
      <c r="L17" s="28">
        <f>L12*Assumptions!$C$12+L13*Assumptions!$C$11</f>
        <v/>
      </c>
      <c r="M17" s="28">
        <f>M12*Assumptions!$C$12+M13*Assumptions!$C$11</f>
        <v/>
      </c>
      <c r="N17" s="28">
        <f>N12*Assumptions!$C$12+N13*Assumptions!$C$11</f>
        <v/>
      </c>
      <c r="O17" s="29">
        <f>SUM(C17:N17)</f>
        <v/>
      </c>
    </row>
    <row r="18">
      <c r="A18" s="20" t="inlineStr">
        <is>
          <t>Benefits (15% of salary)</t>
        </is>
      </c>
      <c r="B18" s="2" t="n"/>
      <c r="C18" s="28">
        <f>C17*Assumptions!$C$14</f>
        <v/>
      </c>
      <c r="D18" s="28">
        <f>D17*Assumptions!$C$14</f>
        <v/>
      </c>
      <c r="E18" s="28">
        <f>E17*Assumptions!$C$14</f>
        <v/>
      </c>
      <c r="F18" s="28">
        <f>F17*Assumptions!$C$14</f>
        <v/>
      </c>
      <c r="G18" s="28">
        <f>G17*Assumptions!$C$14</f>
        <v/>
      </c>
      <c r="H18" s="28">
        <f>H17*Assumptions!$C$14</f>
        <v/>
      </c>
      <c r="I18" s="28">
        <f>I17*Assumptions!$C$14</f>
        <v/>
      </c>
      <c r="J18" s="28">
        <f>J17*Assumptions!$C$14</f>
        <v/>
      </c>
      <c r="K18" s="28">
        <f>K17*Assumptions!$C$14</f>
        <v/>
      </c>
      <c r="L18" s="28">
        <f>L17*Assumptions!$C$14</f>
        <v/>
      </c>
      <c r="M18" s="28">
        <f>M17*Assumptions!$C$14</f>
        <v/>
      </c>
      <c r="N18" s="28">
        <f>N17*Assumptions!$C$14</f>
        <v/>
      </c>
      <c r="O18" s="29">
        <f>SUM(C18:N18)</f>
        <v/>
      </c>
    </row>
    <row r="19">
      <c r="A19" s="20" t="inlineStr">
        <is>
          <t>Hiring costs ($6,000 per new hire)</t>
        </is>
      </c>
      <c r="B19" s="2" t="n"/>
      <c r="C19" s="28">
        <f>C9*Assumptions!$C$13</f>
        <v/>
      </c>
      <c r="D19" s="28">
        <f>D9*Assumptions!$C$13</f>
        <v/>
      </c>
      <c r="E19" s="28">
        <f>E9*Assumptions!$C$13</f>
        <v/>
      </c>
      <c r="F19" s="28">
        <f>F9*Assumptions!$C$13</f>
        <v/>
      </c>
      <c r="G19" s="28">
        <f>G9*Assumptions!$C$13</f>
        <v/>
      </c>
      <c r="H19" s="28">
        <f>H9*Assumptions!$C$13</f>
        <v/>
      </c>
      <c r="I19" s="28">
        <f>I9*Assumptions!$C$13</f>
        <v/>
      </c>
      <c r="J19" s="28">
        <f>J9*Assumptions!$C$13</f>
        <v/>
      </c>
      <c r="K19" s="28">
        <f>K9*Assumptions!$C$13</f>
        <v/>
      </c>
      <c r="L19" s="28">
        <f>L9*Assumptions!$C$13</f>
        <v/>
      </c>
      <c r="M19" s="28">
        <f>M9*Assumptions!$C$13</f>
        <v/>
      </c>
      <c r="N19" s="28">
        <f>N9*Assumptions!$C$13</f>
        <v/>
      </c>
      <c r="O19" s="29">
        <f>SUM(C19:N19)</f>
        <v/>
      </c>
    </row>
    <row r="20">
      <c r="A20" s="23" t="inlineStr">
        <is>
          <t>Total people cost</t>
        </is>
      </c>
      <c r="B20" s="24" t="n"/>
      <c r="C20" s="30">
        <f>SUM(C17:C19)</f>
        <v/>
      </c>
      <c r="D20" s="30">
        <f>SUM(D17:D19)</f>
        <v/>
      </c>
      <c r="E20" s="30">
        <f>SUM(E17:E19)</f>
        <v/>
      </c>
      <c r="F20" s="30">
        <f>SUM(F17:F19)</f>
        <v/>
      </c>
      <c r="G20" s="30">
        <f>SUM(G17:G19)</f>
        <v/>
      </c>
      <c r="H20" s="30">
        <f>SUM(H17:H19)</f>
        <v/>
      </c>
      <c r="I20" s="30">
        <f>SUM(I17:I19)</f>
        <v/>
      </c>
      <c r="J20" s="30">
        <f>SUM(J17:J19)</f>
        <v/>
      </c>
      <c r="K20" s="30">
        <f>SUM(K17:K19)</f>
        <v/>
      </c>
      <c r="L20" s="30">
        <f>SUM(L17:L19)</f>
        <v/>
      </c>
      <c r="M20" s="30">
        <f>SUM(M17:M19)</f>
        <v/>
      </c>
      <c r="N20" s="30">
        <f>SUM(N17:N19)</f>
        <v/>
      </c>
      <c r="O20" s="31">
        <f>SUM(C20:N20)</f>
        <v/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Check: total hires in Months 1–6 (must be 25)</t>
        </is>
      </c>
      <c r="B22" s="2" t="n"/>
      <c r="C22" s="32">
        <f>SUM(C9:H9)</f>
        <v/>
      </c>
      <c r="D22" s="32">
        <f>IF(C22=25,"OK","Not 25 – adjust inputs")</f>
        <v/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1F2A44"/>
    <outlinePr summaryBelow="1" summaryRight="1"/>
    <pageSetUpPr fitToPage="1"/>
  </sheetPr>
  <dimension ref="A1:O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4" customWidth="1" min="15" max="15"/>
  </cols>
  <sheetData>
    <row r="1">
      <c r="A1" s="1" t="inlineStr">
        <is>
          <t>Profit &amp; loss (monthly)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Interest is shown separately so profit can be read with and without the loan.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16" t="inlineStr">
        <is>
          <t>USD</t>
        </is>
      </c>
      <c r="B4" s="17" t="n"/>
      <c r="C4" s="18" t="n">
        <v>1</v>
      </c>
      <c r="D4" s="18" t="n">
        <v>2</v>
      </c>
      <c r="E4" s="18" t="n">
        <v>3</v>
      </c>
      <c r="F4" s="18" t="n">
        <v>4</v>
      </c>
      <c r="G4" s="18" t="n">
        <v>5</v>
      </c>
      <c r="H4" s="18" t="n">
        <v>6</v>
      </c>
      <c r="I4" s="18" t="n">
        <v>7</v>
      </c>
      <c r="J4" s="18" t="n">
        <v>8</v>
      </c>
      <c r="K4" s="18" t="n">
        <v>9</v>
      </c>
      <c r="L4" s="18" t="n">
        <v>10</v>
      </c>
      <c r="M4" s="18" t="n">
        <v>11</v>
      </c>
      <c r="N4" s="18" t="n">
        <v>12</v>
      </c>
      <c r="O4" s="17" t="inlineStr">
        <is>
          <t>12-month total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19" t="inlineStr">
        <is>
          <t>Revenue &amp; gross margin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</row>
    <row r="7">
      <c r="A7" s="32" t="inlineStr">
        <is>
          <t>Revenue</t>
        </is>
      </c>
      <c r="B7" s="2" t="n"/>
      <c r="C7" s="33">
        <f>Assumptions!$C$5*(1+Assumptions!$C$6)^(C$4-1)</f>
        <v/>
      </c>
      <c r="D7" s="33">
        <f>Assumptions!$C$5*(1+Assumptions!$C$6)^(D$4-1)</f>
        <v/>
      </c>
      <c r="E7" s="33">
        <f>Assumptions!$C$5*(1+Assumptions!$C$6)^(E$4-1)</f>
        <v/>
      </c>
      <c r="F7" s="33">
        <f>Assumptions!$C$5*(1+Assumptions!$C$6)^(F$4-1)</f>
        <v/>
      </c>
      <c r="G7" s="33">
        <f>Assumptions!$C$5*(1+Assumptions!$C$6)^(G$4-1)</f>
        <v/>
      </c>
      <c r="H7" s="33">
        <f>Assumptions!$C$5*(1+Assumptions!$C$6)^(H$4-1)</f>
        <v/>
      </c>
      <c r="I7" s="33">
        <f>Assumptions!$C$5*(1+Assumptions!$C$6)^(I$4-1)</f>
        <v/>
      </c>
      <c r="J7" s="33">
        <f>Assumptions!$C$5*(1+Assumptions!$C$6)^(J$4-1)</f>
        <v/>
      </c>
      <c r="K7" s="33">
        <f>Assumptions!$C$5*(1+Assumptions!$C$6)^(K$4-1)</f>
        <v/>
      </c>
      <c r="L7" s="33">
        <f>Assumptions!$C$5*(1+Assumptions!$C$6)^(L$4-1)</f>
        <v/>
      </c>
      <c r="M7" s="33">
        <f>Assumptions!$C$5*(1+Assumptions!$C$6)^(M$4-1)</f>
        <v/>
      </c>
      <c r="N7" s="33">
        <f>Assumptions!$C$5*(1+Assumptions!$C$6)^(N$4-1)</f>
        <v/>
      </c>
      <c r="O7" s="29">
        <f>SUM(C7:N7)</f>
        <v/>
      </c>
    </row>
    <row r="8">
      <c r="A8" s="20" t="inlineStr">
        <is>
          <t>Gross margin %</t>
        </is>
      </c>
      <c r="B8" s="2" t="n"/>
      <c r="C8" s="34">
        <f>Assumptions!$C$7+(Assumptions!$C$8-Assumptions!$C$7)*(C$4-1)/11</f>
        <v/>
      </c>
      <c r="D8" s="34">
        <f>Assumptions!$C$7+(Assumptions!$C$8-Assumptions!$C$7)*(D$4-1)/11</f>
        <v/>
      </c>
      <c r="E8" s="34">
        <f>Assumptions!$C$7+(Assumptions!$C$8-Assumptions!$C$7)*(E$4-1)/11</f>
        <v/>
      </c>
      <c r="F8" s="34">
        <f>Assumptions!$C$7+(Assumptions!$C$8-Assumptions!$C$7)*(F$4-1)/11</f>
        <v/>
      </c>
      <c r="G8" s="34">
        <f>Assumptions!$C$7+(Assumptions!$C$8-Assumptions!$C$7)*(G$4-1)/11</f>
        <v/>
      </c>
      <c r="H8" s="34">
        <f>Assumptions!$C$7+(Assumptions!$C$8-Assumptions!$C$7)*(H$4-1)/11</f>
        <v/>
      </c>
      <c r="I8" s="34">
        <f>Assumptions!$C$7+(Assumptions!$C$8-Assumptions!$C$7)*(I$4-1)/11</f>
        <v/>
      </c>
      <c r="J8" s="34">
        <f>Assumptions!$C$7+(Assumptions!$C$8-Assumptions!$C$7)*(J$4-1)/11</f>
        <v/>
      </c>
      <c r="K8" s="34">
        <f>Assumptions!$C$7+(Assumptions!$C$8-Assumptions!$C$7)*(K$4-1)/11</f>
        <v/>
      </c>
      <c r="L8" s="34">
        <f>Assumptions!$C$7+(Assumptions!$C$8-Assumptions!$C$7)*(L$4-1)/11</f>
        <v/>
      </c>
      <c r="M8" s="34">
        <f>Assumptions!$C$7+(Assumptions!$C$8-Assumptions!$C$7)*(M$4-1)/11</f>
        <v/>
      </c>
      <c r="N8" s="34">
        <f>Assumptions!$C$7+(Assumptions!$C$8-Assumptions!$C$7)*(N$4-1)/11</f>
        <v/>
      </c>
      <c r="O8" s="35">
        <f>O10/O7</f>
        <v/>
      </c>
    </row>
    <row r="9">
      <c r="A9" s="20" t="inlineStr">
        <is>
          <t>Cost of revenue</t>
        </is>
      </c>
      <c r="B9" s="2" t="n"/>
      <c r="C9" s="28">
        <f>-C7*(1-C8)</f>
        <v/>
      </c>
      <c r="D9" s="28">
        <f>-D7*(1-D8)</f>
        <v/>
      </c>
      <c r="E9" s="28">
        <f>-E7*(1-E8)</f>
        <v/>
      </c>
      <c r="F9" s="28">
        <f>-F7*(1-F8)</f>
        <v/>
      </c>
      <c r="G9" s="28">
        <f>-G7*(1-G8)</f>
        <v/>
      </c>
      <c r="H9" s="28">
        <f>-H7*(1-H8)</f>
        <v/>
      </c>
      <c r="I9" s="28">
        <f>-I7*(1-I8)</f>
        <v/>
      </c>
      <c r="J9" s="28">
        <f>-J7*(1-J8)</f>
        <v/>
      </c>
      <c r="K9" s="28">
        <f>-K7*(1-K8)</f>
        <v/>
      </c>
      <c r="L9" s="28">
        <f>-L7*(1-L8)</f>
        <v/>
      </c>
      <c r="M9" s="28">
        <f>-M7*(1-M8)</f>
        <v/>
      </c>
      <c r="N9" s="28">
        <f>-N7*(1-N8)</f>
        <v/>
      </c>
      <c r="O9" s="29">
        <f>SUM(C9:N9)</f>
        <v/>
      </c>
    </row>
    <row r="10">
      <c r="A10" s="23" t="inlineStr">
        <is>
          <t>Gross profit</t>
        </is>
      </c>
      <c r="B10" s="24" t="n"/>
      <c r="C10" s="30">
        <f>C7+C9</f>
        <v/>
      </c>
      <c r="D10" s="30">
        <f>D7+D9</f>
        <v/>
      </c>
      <c r="E10" s="30">
        <f>E7+E9</f>
        <v/>
      </c>
      <c r="F10" s="30">
        <f>F7+F9</f>
        <v/>
      </c>
      <c r="G10" s="30">
        <f>G7+G9</f>
        <v/>
      </c>
      <c r="H10" s="30">
        <f>H7+H9</f>
        <v/>
      </c>
      <c r="I10" s="30">
        <f>I7+I9</f>
        <v/>
      </c>
      <c r="J10" s="30">
        <f>J7+J9</f>
        <v/>
      </c>
      <c r="K10" s="30">
        <f>K7+K9</f>
        <v/>
      </c>
      <c r="L10" s="30">
        <f>L7+L9</f>
        <v/>
      </c>
      <c r="M10" s="30">
        <f>M7+M9</f>
        <v/>
      </c>
      <c r="N10" s="30">
        <f>N7+N9</f>
        <v/>
      </c>
      <c r="O10" s="31">
        <f>SUM(C10:N10)</f>
        <v/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19" t="inlineStr">
        <is>
          <t>Operating expenses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</row>
    <row r="13">
      <c r="A13" s="20" t="inlineStr">
        <is>
          <t>Salaries</t>
        </is>
      </c>
      <c r="B13" s="2" t="n"/>
      <c r="C13" s="28">
        <f>-Headcount!C17</f>
        <v/>
      </c>
      <c r="D13" s="28">
        <f>-Headcount!D17</f>
        <v/>
      </c>
      <c r="E13" s="28">
        <f>-Headcount!E17</f>
        <v/>
      </c>
      <c r="F13" s="28">
        <f>-Headcount!F17</f>
        <v/>
      </c>
      <c r="G13" s="28">
        <f>-Headcount!G17</f>
        <v/>
      </c>
      <c r="H13" s="28">
        <f>-Headcount!H17</f>
        <v/>
      </c>
      <c r="I13" s="28">
        <f>-Headcount!I17</f>
        <v/>
      </c>
      <c r="J13" s="28">
        <f>-Headcount!J17</f>
        <v/>
      </c>
      <c r="K13" s="28">
        <f>-Headcount!K17</f>
        <v/>
      </c>
      <c r="L13" s="28">
        <f>-Headcount!L17</f>
        <v/>
      </c>
      <c r="M13" s="28">
        <f>-Headcount!M17</f>
        <v/>
      </c>
      <c r="N13" s="28">
        <f>-Headcount!N17</f>
        <v/>
      </c>
      <c r="O13" s="29">
        <f>SUM(C13:N13)</f>
        <v/>
      </c>
    </row>
    <row r="14">
      <c r="A14" s="20" t="inlineStr">
        <is>
          <t>Benefits</t>
        </is>
      </c>
      <c r="B14" s="2" t="n"/>
      <c r="C14" s="28">
        <f>-Headcount!C18</f>
        <v/>
      </c>
      <c r="D14" s="28">
        <f>-Headcount!D18</f>
        <v/>
      </c>
      <c r="E14" s="28">
        <f>-Headcount!E18</f>
        <v/>
      </c>
      <c r="F14" s="28">
        <f>-Headcount!F18</f>
        <v/>
      </c>
      <c r="G14" s="28">
        <f>-Headcount!G18</f>
        <v/>
      </c>
      <c r="H14" s="28">
        <f>-Headcount!H18</f>
        <v/>
      </c>
      <c r="I14" s="28">
        <f>-Headcount!I18</f>
        <v/>
      </c>
      <c r="J14" s="28">
        <f>-Headcount!J18</f>
        <v/>
      </c>
      <c r="K14" s="28">
        <f>-Headcount!K18</f>
        <v/>
      </c>
      <c r="L14" s="28">
        <f>-Headcount!L18</f>
        <v/>
      </c>
      <c r="M14" s="28">
        <f>-Headcount!M18</f>
        <v/>
      </c>
      <c r="N14" s="28">
        <f>-Headcount!N18</f>
        <v/>
      </c>
      <c r="O14" s="29">
        <f>SUM(C14:N14)</f>
        <v/>
      </c>
    </row>
    <row r="15">
      <c r="A15" s="20" t="inlineStr">
        <is>
          <t>Hiring costs</t>
        </is>
      </c>
      <c r="B15" s="2" t="n"/>
      <c r="C15" s="28">
        <f>-Headcount!C19</f>
        <v/>
      </c>
      <c r="D15" s="28">
        <f>-Headcount!D19</f>
        <v/>
      </c>
      <c r="E15" s="28">
        <f>-Headcount!E19</f>
        <v/>
      </c>
      <c r="F15" s="28">
        <f>-Headcount!F19</f>
        <v/>
      </c>
      <c r="G15" s="28">
        <f>-Headcount!G19</f>
        <v/>
      </c>
      <c r="H15" s="28">
        <f>-Headcount!H19</f>
        <v/>
      </c>
      <c r="I15" s="28">
        <f>-Headcount!I19</f>
        <v/>
      </c>
      <c r="J15" s="28">
        <f>-Headcount!J19</f>
        <v/>
      </c>
      <c r="K15" s="28">
        <f>-Headcount!K19</f>
        <v/>
      </c>
      <c r="L15" s="28">
        <f>-Headcount!L19</f>
        <v/>
      </c>
      <c r="M15" s="28">
        <f>-Headcount!M19</f>
        <v/>
      </c>
      <c r="N15" s="28">
        <f>-Headcount!N19</f>
        <v/>
      </c>
      <c r="O15" s="29">
        <f>SUM(C15:N15)</f>
        <v/>
      </c>
    </row>
    <row r="16">
      <c r="A16" s="20" t="inlineStr">
        <is>
          <t>Overhead</t>
        </is>
      </c>
      <c r="B16" s="2" t="n"/>
      <c r="C16" s="28">
        <f>-Assumptions!$C$18*(1+Assumptions!$C$19*(C$4-1)/11)</f>
        <v/>
      </c>
      <c r="D16" s="28">
        <f>-Assumptions!$C$18*(1+Assumptions!$C$19*(D$4-1)/11)</f>
        <v/>
      </c>
      <c r="E16" s="28">
        <f>-Assumptions!$C$18*(1+Assumptions!$C$19*(E$4-1)/11)</f>
        <v/>
      </c>
      <c r="F16" s="28">
        <f>-Assumptions!$C$18*(1+Assumptions!$C$19*(F$4-1)/11)</f>
        <v/>
      </c>
      <c r="G16" s="28">
        <f>-Assumptions!$C$18*(1+Assumptions!$C$19*(G$4-1)/11)</f>
        <v/>
      </c>
      <c r="H16" s="28">
        <f>-Assumptions!$C$18*(1+Assumptions!$C$19*(H$4-1)/11)</f>
        <v/>
      </c>
      <c r="I16" s="28">
        <f>-Assumptions!$C$18*(1+Assumptions!$C$19*(I$4-1)/11)</f>
        <v/>
      </c>
      <c r="J16" s="28">
        <f>-Assumptions!$C$18*(1+Assumptions!$C$19*(J$4-1)/11)</f>
        <v/>
      </c>
      <c r="K16" s="28">
        <f>-Assumptions!$C$18*(1+Assumptions!$C$19*(K$4-1)/11)</f>
        <v/>
      </c>
      <c r="L16" s="28">
        <f>-Assumptions!$C$18*(1+Assumptions!$C$19*(L$4-1)/11)</f>
        <v/>
      </c>
      <c r="M16" s="28">
        <f>-Assumptions!$C$18*(1+Assumptions!$C$19*(M$4-1)/11)</f>
        <v/>
      </c>
      <c r="N16" s="28">
        <f>-Assumptions!$C$18*(1+Assumptions!$C$19*(N$4-1)/11)</f>
        <v/>
      </c>
      <c r="O16" s="29">
        <f>SUM(C16:N16)</f>
        <v/>
      </c>
    </row>
    <row r="17">
      <c r="A17" s="20" t="inlineStr">
        <is>
          <t>G&amp;A / Legal</t>
        </is>
      </c>
      <c r="B17" s="2" t="n"/>
      <c r="C17" s="28">
        <f>-Assumptions!$C$20</f>
        <v/>
      </c>
      <c r="D17" s="28">
        <f>-Assumptions!$C$20</f>
        <v/>
      </c>
      <c r="E17" s="28">
        <f>-Assumptions!$C$20</f>
        <v/>
      </c>
      <c r="F17" s="28">
        <f>-Assumptions!$C$20</f>
        <v/>
      </c>
      <c r="G17" s="28">
        <f>-Assumptions!$C$20</f>
        <v/>
      </c>
      <c r="H17" s="28">
        <f>-Assumptions!$C$20</f>
        <v/>
      </c>
      <c r="I17" s="28">
        <f>-Assumptions!$C$20</f>
        <v/>
      </c>
      <c r="J17" s="28">
        <f>-Assumptions!$C$20</f>
        <v/>
      </c>
      <c r="K17" s="28">
        <f>-Assumptions!$C$20</f>
        <v/>
      </c>
      <c r="L17" s="28">
        <f>-Assumptions!$C$20</f>
        <v/>
      </c>
      <c r="M17" s="28">
        <f>-Assumptions!$C$20</f>
        <v/>
      </c>
      <c r="N17" s="28">
        <f>-Assumptions!$C$20</f>
        <v/>
      </c>
      <c r="O17" s="29">
        <f>SUM(C17:N17)</f>
        <v/>
      </c>
    </row>
    <row r="18">
      <c r="A18" s="23" t="inlineStr">
        <is>
          <t>Total operating expenses</t>
        </is>
      </c>
      <c r="B18" s="24" t="n"/>
      <c r="C18" s="30">
        <f>SUM(C13:C17)</f>
        <v/>
      </c>
      <c r="D18" s="30">
        <f>SUM(D13:D17)</f>
        <v/>
      </c>
      <c r="E18" s="30">
        <f>SUM(E13:E17)</f>
        <v/>
      </c>
      <c r="F18" s="30">
        <f>SUM(F13:F17)</f>
        <v/>
      </c>
      <c r="G18" s="30">
        <f>SUM(G13:G17)</f>
        <v/>
      </c>
      <c r="H18" s="30">
        <f>SUM(H13:H17)</f>
        <v/>
      </c>
      <c r="I18" s="30">
        <f>SUM(I13:I17)</f>
        <v/>
      </c>
      <c r="J18" s="30">
        <f>SUM(J13:J17)</f>
        <v/>
      </c>
      <c r="K18" s="30">
        <f>SUM(K13:K17)</f>
        <v/>
      </c>
      <c r="L18" s="30">
        <f>SUM(L13:L17)</f>
        <v/>
      </c>
      <c r="M18" s="30">
        <f>SUM(M13:M17)</f>
        <v/>
      </c>
      <c r="N18" s="30">
        <f>SUM(N13:N17)</f>
        <v/>
      </c>
      <c r="O18" s="31">
        <f>SUM(C18:N18)</f>
        <v/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3" t="inlineStr">
        <is>
          <t>Operating profit</t>
        </is>
      </c>
      <c r="B20" s="24" t="n"/>
      <c r="C20" s="30">
        <f>C10+C18</f>
        <v/>
      </c>
      <c r="D20" s="30">
        <f>D10+D18</f>
        <v/>
      </c>
      <c r="E20" s="30">
        <f>E10+E18</f>
        <v/>
      </c>
      <c r="F20" s="30">
        <f>F10+F18</f>
        <v/>
      </c>
      <c r="G20" s="30">
        <f>G10+G18</f>
        <v/>
      </c>
      <c r="H20" s="30">
        <f>H10+H18</f>
        <v/>
      </c>
      <c r="I20" s="30">
        <f>I10+I18</f>
        <v/>
      </c>
      <c r="J20" s="30">
        <f>J10+J18</f>
        <v/>
      </c>
      <c r="K20" s="30">
        <f>K10+K18</f>
        <v/>
      </c>
      <c r="L20" s="30">
        <f>L10+L18</f>
        <v/>
      </c>
      <c r="M20" s="30">
        <f>M10+M18</f>
        <v/>
      </c>
      <c r="N20" s="30">
        <f>N10+N18</f>
        <v/>
      </c>
      <c r="O20" s="31">
        <f>SUM(C20:N20)</f>
        <v/>
      </c>
    </row>
    <row r="21">
      <c r="A21" s="20" t="inlineStr">
        <is>
          <t>Operating margin %</t>
        </is>
      </c>
      <c r="B21" s="2" t="n"/>
      <c r="C21" s="34">
        <f>C20/C7</f>
        <v/>
      </c>
      <c r="D21" s="34">
        <f>D20/D7</f>
        <v/>
      </c>
      <c r="E21" s="34">
        <f>E20/E7</f>
        <v/>
      </c>
      <c r="F21" s="34">
        <f>F20/F7</f>
        <v/>
      </c>
      <c r="G21" s="34">
        <f>G20/G7</f>
        <v/>
      </c>
      <c r="H21" s="34">
        <f>H20/H7</f>
        <v/>
      </c>
      <c r="I21" s="34">
        <f>I20/I7</f>
        <v/>
      </c>
      <c r="J21" s="34">
        <f>J20/J7</f>
        <v/>
      </c>
      <c r="K21" s="34">
        <f>K20/K7</f>
        <v/>
      </c>
      <c r="L21" s="34">
        <f>L20/L7</f>
        <v/>
      </c>
      <c r="M21" s="34">
        <f>M20/M7</f>
        <v/>
      </c>
      <c r="N21" s="34">
        <f>N20/N7</f>
        <v/>
      </c>
      <c r="O21" s="35">
        <f>O20/O7</f>
        <v/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32" t="inlineStr">
        <is>
          <t>Net profit – WITHOUT loan</t>
        </is>
      </c>
      <c r="B23" s="2" t="n"/>
      <c r="C23" s="33">
        <f>C20</f>
        <v/>
      </c>
      <c r="D23" s="33">
        <f>D20</f>
        <v/>
      </c>
      <c r="E23" s="33">
        <f>E20</f>
        <v/>
      </c>
      <c r="F23" s="33">
        <f>F20</f>
        <v/>
      </c>
      <c r="G23" s="33">
        <f>G20</f>
        <v/>
      </c>
      <c r="H23" s="33">
        <f>H20</f>
        <v/>
      </c>
      <c r="I23" s="33">
        <f>I20</f>
        <v/>
      </c>
      <c r="J23" s="33">
        <f>J20</f>
        <v/>
      </c>
      <c r="K23" s="33">
        <f>K20</f>
        <v/>
      </c>
      <c r="L23" s="33">
        <f>L20</f>
        <v/>
      </c>
      <c r="M23" s="33">
        <f>M20</f>
        <v/>
      </c>
      <c r="N23" s="33">
        <f>N20</f>
        <v/>
      </c>
      <c r="O23" s="29">
        <f>SUM(C23:N23)</f>
        <v/>
      </c>
    </row>
    <row r="24">
      <c r="A24" s="20" t="inlineStr">
        <is>
          <t>Loan interest</t>
        </is>
      </c>
      <c r="B24" s="2" t="n"/>
      <c r="C24" s="28">
        <f>-INDEX(Loan!$J$6:$J$29,C$4)</f>
        <v/>
      </c>
      <c r="D24" s="28">
        <f>-INDEX(Loan!$J$6:$J$29,D$4)</f>
        <v/>
      </c>
      <c r="E24" s="28">
        <f>-INDEX(Loan!$J$6:$J$29,E$4)</f>
        <v/>
      </c>
      <c r="F24" s="28">
        <f>-INDEX(Loan!$J$6:$J$29,F$4)</f>
        <v/>
      </c>
      <c r="G24" s="28">
        <f>-INDEX(Loan!$J$6:$J$29,G$4)</f>
        <v/>
      </c>
      <c r="H24" s="28">
        <f>-INDEX(Loan!$J$6:$J$29,H$4)</f>
        <v/>
      </c>
      <c r="I24" s="28">
        <f>-INDEX(Loan!$J$6:$J$29,I$4)</f>
        <v/>
      </c>
      <c r="J24" s="28">
        <f>-INDEX(Loan!$J$6:$J$29,J$4)</f>
        <v/>
      </c>
      <c r="K24" s="28">
        <f>-INDEX(Loan!$J$6:$J$29,K$4)</f>
        <v/>
      </c>
      <c r="L24" s="28">
        <f>-INDEX(Loan!$J$6:$J$29,L$4)</f>
        <v/>
      </c>
      <c r="M24" s="28">
        <f>-INDEX(Loan!$J$6:$J$29,M$4)</f>
        <v/>
      </c>
      <c r="N24" s="28">
        <f>-INDEX(Loan!$J$6:$J$29,N$4)</f>
        <v/>
      </c>
      <c r="O24" s="29">
        <f>SUM(C24:N24)</f>
        <v/>
      </c>
    </row>
    <row r="25">
      <c r="A25" s="36" t="inlineStr">
        <is>
          <t>Net profit – WITH loan</t>
        </is>
      </c>
      <c r="B25" s="37" t="n"/>
      <c r="C25" s="38">
        <f>C20+C24</f>
        <v/>
      </c>
      <c r="D25" s="38">
        <f>D20+D24</f>
        <v/>
      </c>
      <c r="E25" s="38">
        <f>E20+E24</f>
        <v/>
      </c>
      <c r="F25" s="38">
        <f>F20+F24</f>
        <v/>
      </c>
      <c r="G25" s="38">
        <f>G20+G24</f>
        <v/>
      </c>
      <c r="H25" s="38">
        <f>H20+H24</f>
        <v/>
      </c>
      <c r="I25" s="38">
        <f>I20+I24</f>
        <v/>
      </c>
      <c r="J25" s="38">
        <f>J20+J24</f>
        <v/>
      </c>
      <c r="K25" s="38">
        <f>K20+K24</f>
        <v/>
      </c>
      <c r="L25" s="38">
        <f>L20+L24</f>
        <v/>
      </c>
      <c r="M25" s="38">
        <f>M20+M24</f>
        <v/>
      </c>
      <c r="N25" s="38">
        <f>N20+N24</f>
        <v/>
      </c>
      <c r="O25" s="39">
        <f>SUM(C25:N25)</f>
        <v/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1F2A44"/>
    <outlinePr summaryBelow="1" summaryRight="1"/>
    <pageSetUpPr fitToPage="1"/>
  </sheetPr>
  <dimension ref="A1:O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4" customWidth="1" min="15" max="15"/>
  </cols>
  <sheetData>
    <row r="1">
      <c r="A1" s="1" t="inlineStr">
        <is>
          <t>Cash flow statement – indirect method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Starts from net profit and adjusts for non-cash items and working capital. The case brief has none of these, so those lines are zero and cash flow from operations equals net profit.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16" t="inlineStr">
        <is>
          <t>USD</t>
        </is>
      </c>
      <c r="B4" s="17" t="n"/>
      <c r="C4" s="18" t="n">
        <v>1</v>
      </c>
      <c r="D4" s="18" t="n">
        <v>2</v>
      </c>
      <c r="E4" s="18" t="n">
        <v>3</v>
      </c>
      <c r="F4" s="18" t="n">
        <v>4</v>
      </c>
      <c r="G4" s="18" t="n">
        <v>5</v>
      </c>
      <c r="H4" s="18" t="n">
        <v>6</v>
      </c>
      <c r="I4" s="18" t="n">
        <v>7</v>
      </c>
      <c r="J4" s="18" t="n">
        <v>8</v>
      </c>
      <c r="K4" s="18" t="n">
        <v>9</v>
      </c>
      <c r="L4" s="18" t="n">
        <v>10</v>
      </c>
      <c r="M4" s="18" t="n">
        <v>11</v>
      </c>
      <c r="N4" s="18" t="n">
        <v>12</v>
      </c>
      <c r="O4" s="17" t="inlineStr">
        <is>
          <t>12-month total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19" t="inlineStr">
        <is>
          <t>A. WITHOUT loan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</row>
    <row r="7">
      <c r="A7" s="20" t="inlineStr">
        <is>
          <t>Net profit</t>
        </is>
      </c>
      <c r="B7" s="2" t="n"/>
      <c r="C7" s="28">
        <f>'P&amp;L'!C23</f>
        <v/>
      </c>
      <c r="D7" s="28">
        <f>'P&amp;L'!D23</f>
        <v/>
      </c>
      <c r="E7" s="28">
        <f>'P&amp;L'!E23</f>
        <v/>
      </c>
      <c r="F7" s="28">
        <f>'P&amp;L'!F23</f>
        <v/>
      </c>
      <c r="G7" s="28">
        <f>'P&amp;L'!G23</f>
        <v/>
      </c>
      <c r="H7" s="28">
        <f>'P&amp;L'!H23</f>
        <v/>
      </c>
      <c r="I7" s="28">
        <f>'P&amp;L'!I23</f>
        <v/>
      </c>
      <c r="J7" s="28">
        <f>'P&amp;L'!J23</f>
        <v/>
      </c>
      <c r="K7" s="28">
        <f>'P&amp;L'!K23</f>
        <v/>
      </c>
      <c r="L7" s="28">
        <f>'P&amp;L'!L23</f>
        <v/>
      </c>
      <c r="M7" s="28">
        <f>'P&amp;L'!M23</f>
        <v/>
      </c>
      <c r="N7" s="28">
        <f>'P&amp;L'!N23</f>
        <v/>
      </c>
      <c r="O7" s="29">
        <f>SUM(C7:N7)</f>
        <v/>
      </c>
    </row>
    <row r="8">
      <c r="A8" s="20" t="inlineStr">
        <is>
          <t>+ Non-cash items (e.g. depreciation) – none in brief</t>
        </is>
      </c>
      <c r="B8" s="2" t="n"/>
      <c r="C8" s="28">
        <f>0</f>
        <v/>
      </c>
      <c r="D8" s="28">
        <f>0</f>
        <v/>
      </c>
      <c r="E8" s="28">
        <f>0</f>
        <v/>
      </c>
      <c r="F8" s="28">
        <f>0</f>
        <v/>
      </c>
      <c r="G8" s="28">
        <f>0</f>
        <v/>
      </c>
      <c r="H8" s="28">
        <f>0</f>
        <v/>
      </c>
      <c r="I8" s="28">
        <f>0</f>
        <v/>
      </c>
      <c r="J8" s="28">
        <f>0</f>
        <v/>
      </c>
      <c r="K8" s="28">
        <f>0</f>
        <v/>
      </c>
      <c r="L8" s="28">
        <f>0</f>
        <v/>
      </c>
      <c r="M8" s="28">
        <f>0</f>
        <v/>
      </c>
      <c r="N8" s="28">
        <f>0</f>
        <v/>
      </c>
      <c r="O8" s="29">
        <f>SUM(C8:N8)</f>
        <v/>
      </c>
    </row>
    <row r="9">
      <c r="A9" s="20" t="inlineStr">
        <is>
          <t>± Change in working capital – none in brief</t>
        </is>
      </c>
      <c r="B9" s="2" t="n"/>
      <c r="C9" s="28">
        <f>0</f>
        <v/>
      </c>
      <c r="D9" s="28">
        <f>0</f>
        <v/>
      </c>
      <c r="E9" s="28">
        <f>0</f>
        <v/>
      </c>
      <c r="F9" s="28">
        <f>0</f>
        <v/>
      </c>
      <c r="G9" s="28">
        <f>0</f>
        <v/>
      </c>
      <c r="H9" s="28">
        <f>0</f>
        <v/>
      </c>
      <c r="I9" s="28">
        <f>0</f>
        <v/>
      </c>
      <c r="J9" s="28">
        <f>0</f>
        <v/>
      </c>
      <c r="K9" s="28">
        <f>0</f>
        <v/>
      </c>
      <c r="L9" s="28">
        <f>0</f>
        <v/>
      </c>
      <c r="M9" s="28">
        <f>0</f>
        <v/>
      </c>
      <c r="N9" s="28">
        <f>0</f>
        <v/>
      </c>
      <c r="O9" s="29">
        <f>SUM(C9:N9)</f>
        <v/>
      </c>
    </row>
    <row r="10">
      <c r="A10" s="23" t="inlineStr">
        <is>
          <t>Cash flow from operations</t>
        </is>
      </c>
      <c r="B10" s="24" t="n"/>
      <c r="C10" s="30">
        <f>SUM(C7:C9)</f>
        <v/>
      </c>
      <c r="D10" s="30">
        <f>SUM(D7:D9)</f>
        <v/>
      </c>
      <c r="E10" s="30">
        <f>SUM(E7:E9)</f>
        <v/>
      </c>
      <c r="F10" s="30">
        <f>SUM(F7:F9)</f>
        <v/>
      </c>
      <c r="G10" s="30">
        <f>SUM(G7:G9)</f>
        <v/>
      </c>
      <c r="H10" s="30">
        <f>SUM(H7:H9)</f>
        <v/>
      </c>
      <c r="I10" s="30">
        <f>SUM(I7:I9)</f>
        <v/>
      </c>
      <c r="J10" s="30">
        <f>SUM(J7:J9)</f>
        <v/>
      </c>
      <c r="K10" s="30">
        <f>SUM(K7:K9)</f>
        <v/>
      </c>
      <c r="L10" s="30">
        <f>SUM(L7:L9)</f>
        <v/>
      </c>
      <c r="M10" s="30">
        <f>SUM(M7:M9)</f>
        <v/>
      </c>
      <c r="N10" s="30">
        <f>SUM(N7:N9)</f>
        <v/>
      </c>
      <c r="O10" s="31">
        <f>SUM(C10:N10)</f>
        <v/>
      </c>
    </row>
    <row r="11">
      <c r="A11" s="20" t="inlineStr">
        <is>
          <t>Cash flow from investing – none in brief</t>
        </is>
      </c>
      <c r="B11" s="2" t="n"/>
      <c r="C11" s="28">
        <f>0</f>
        <v/>
      </c>
      <c r="D11" s="28">
        <f>0</f>
        <v/>
      </c>
      <c r="E11" s="28">
        <f>0</f>
        <v/>
      </c>
      <c r="F11" s="28">
        <f>0</f>
        <v/>
      </c>
      <c r="G11" s="28">
        <f>0</f>
        <v/>
      </c>
      <c r="H11" s="28">
        <f>0</f>
        <v/>
      </c>
      <c r="I11" s="28">
        <f>0</f>
        <v/>
      </c>
      <c r="J11" s="28">
        <f>0</f>
        <v/>
      </c>
      <c r="K11" s="28">
        <f>0</f>
        <v/>
      </c>
      <c r="L11" s="28">
        <f>0</f>
        <v/>
      </c>
      <c r="M11" s="28">
        <f>0</f>
        <v/>
      </c>
      <c r="N11" s="28">
        <f>0</f>
        <v/>
      </c>
      <c r="O11" s="29">
        <f>SUM(C11:N11)</f>
        <v/>
      </c>
    </row>
    <row r="12">
      <c r="A12" s="20" t="inlineStr">
        <is>
          <t>Loan received</t>
        </is>
      </c>
      <c r="B12" s="2" t="n"/>
      <c r="C12" s="28">
        <f>0</f>
        <v/>
      </c>
      <c r="D12" s="28">
        <f>0</f>
        <v/>
      </c>
      <c r="E12" s="28">
        <f>0</f>
        <v/>
      </c>
      <c r="F12" s="28">
        <f>0</f>
        <v/>
      </c>
      <c r="G12" s="28">
        <f>0</f>
        <v/>
      </c>
      <c r="H12" s="28">
        <f>0</f>
        <v/>
      </c>
      <c r="I12" s="28">
        <f>0</f>
        <v/>
      </c>
      <c r="J12" s="28">
        <f>0</f>
        <v/>
      </c>
      <c r="K12" s="28">
        <f>0</f>
        <v/>
      </c>
      <c r="L12" s="28">
        <f>0</f>
        <v/>
      </c>
      <c r="M12" s="28">
        <f>0</f>
        <v/>
      </c>
      <c r="N12" s="28">
        <f>0</f>
        <v/>
      </c>
      <c r="O12" s="29">
        <f>SUM(C12:N12)</f>
        <v/>
      </c>
    </row>
    <row r="13">
      <c r="A13" s="20" t="inlineStr">
        <is>
          <t>Loan principal repaid</t>
        </is>
      </c>
      <c r="B13" s="2" t="n"/>
      <c r="C13" s="28">
        <f>0</f>
        <v/>
      </c>
      <c r="D13" s="28">
        <f>0</f>
        <v/>
      </c>
      <c r="E13" s="28">
        <f>0</f>
        <v/>
      </c>
      <c r="F13" s="28">
        <f>0</f>
        <v/>
      </c>
      <c r="G13" s="28">
        <f>0</f>
        <v/>
      </c>
      <c r="H13" s="28">
        <f>0</f>
        <v/>
      </c>
      <c r="I13" s="28">
        <f>0</f>
        <v/>
      </c>
      <c r="J13" s="28">
        <f>0</f>
        <v/>
      </c>
      <c r="K13" s="28">
        <f>0</f>
        <v/>
      </c>
      <c r="L13" s="28">
        <f>0</f>
        <v/>
      </c>
      <c r="M13" s="28">
        <f>0</f>
        <v/>
      </c>
      <c r="N13" s="28">
        <f>0</f>
        <v/>
      </c>
      <c r="O13" s="29">
        <f>SUM(C13:N13)</f>
        <v/>
      </c>
    </row>
    <row r="14">
      <c r="A14" s="23" t="inlineStr">
        <is>
          <t>Cash flow from financing</t>
        </is>
      </c>
      <c r="B14" s="24" t="n"/>
      <c r="C14" s="30">
        <f>C12+C13</f>
        <v/>
      </c>
      <c r="D14" s="30">
        <f>D12+D13</f>
        <v/>
      </c>
      <c r="E14" s="30">
        <f>E12+E13</f>
        <v/>
      </c>
      <c r="F14" s="30">
        <f>F12+F13</f>
        <v/>
      </c>
      <c r="G14" s="30">
        <f>G12+G13</f>
        <v/>
      </c>
      <c r="H14" s="30">
        <f>H12+H13</f>
        <v/>
      </c>
      <c r="I14" s="30">
        <f>I12+I13</f>
        <v/>
      </c>
      <c r="J14" s="30">
        <f>J12+J13</f>
        <v/>
      </c>
      <c r="K14" s="30">
        <f>K12+K13</f>
        <v/>
      </c>
      <c r="L14" s="30">
        <f>L12+L13</f>
        <v/>
      </c>
      <c r="M14" s="30">
        <f>M12+M13</f>
        <v/>
      </c>
      <c r="N14" s="30">
        <f>N12+N13</f>
        <v/>
      </c>
      <c r="O14" s="31">
        <f>SUM(C14:N14)</f>
        <v/>
      </c>
    </row>
    <row r="15">
      <c r="A15" s="32" t="inlineStr">
        <is>
          <t>Net change in cash</t>
        </is>
      </c>
      <c r="B15" s="2" t="n"/>
      <c r="C15" s="33">
        <f>C10+C11+C14</f>
        <v/>
      </c>
      <c r="D15" s="33">
        <f>D10+D11+D14</f>
        <v/>
      </c>
      <c r="E15" s="33">
        <f>E10+E11+E14</f>
        <v/>
      </c>
      <c r="F15" s="33">
        <f>F10+F11+F14</f>
        <v/>
      </c>
      <c r="G15" s="33">
        <f>G10+G11+G14</f>
        <v/>
      </c>
      <c r="H15" s="33">
        <f>H10+H11+H14</f>
        <v/>
      </c>
      <c r="I15" s="33">
        <f>I10+I11+I14</f>
        <v/>
      </c>
      <c r="J15" s="33">
        <f>J10+J11+J14</f>
        <v/>
      </c>
      <c r="K15" s="33">
        <f>K10+K11+K14</f>
        <v/>
      </c>
      <c r="L15" s="33">
        <f>L10+L11+L14</f>
        <v/>
      </c>
      <c r="M15" s="33">
        <f>M10+M11+M14</f>
        <v/>
      </c>
      <c r="N15" s="33">
        <f>N10+N11+N14</f>
        <v/>
      </c>
      <c r="O15" s="29">
        <f>SUM(C15:N15)</f>
        <v/>
      </c>
    </row>
    <row r="16">
      <c r="A16" s="20" t="inlineStr">
        <is>
          <t>Opening cash</t>
        </is>
      </c>
      <c r="B16" s="2" t="n"/>
      <c r="C16" s="28">
        <f>Assumptions!$C$23</f>
        <v/>
      </c>
      <c r="D16" s="28">
        <f>C17</f>
        <v/>
      </c>
      <c r="E16" s="28">
        <f>D17</f>
        <v/>
      </c>
      <c r="F16" s="28">
        <f>E17</f>
        <v/>
      </c>
      <c r="G16" s="28">
        <f>F17</f>
        <v/>
      </c>
      <c r="H16" s="28">
        <f>G17</f>
        <v/>
      </c>
      <c r="I16" s="28">
        <f>H17</f>
        <v/>
      </c>
      <c r="J16" s="28">
        <f>I17</f>
        <v/>
      </c>
      <c r="K16" s="28">
        <f>J17</f>
        <v/>
      </c>
      <c r="L16" s="28">
        <f>K17</f>
        <v/>
      </c>
      <c r="M16" s="28">
        <f>L17</f>
        <v/>
      </c>
      <c r="N16" s="28">
        <f>M17</f>
        <v/>
      </c>
      <c r="O16" s="29">
        <f>C16</f>
        <v/>
      </c>
    </row>
    <row r="17">
      <c r="A17" s="36" t="inlineStr">
        <is>
          <t>Closing cash</t>
        </is>
      </c>
      <c r="B17" s="37" t="n"/>
      <c r="C17" s="38">
        <f>C16+C15</f>
        <v/>
      </c>
      <c r="D17" s="38">
        <f>D16+D15</f>
        <v/>
      </c>
      <c r="E17" s="38">
        <f>E16+E15</f>
        <v/>
      </c>
      <c r="F17" s="38">
        <f>F16+F15</f>
        <v/>
      </c>
      <c r="G17" s="38">
        <f>G16+G15</f>
        <v/>
      </c>
      <c r="H17" s="38">
        <f>H16+H15</f>
        <v/>
      </c>
      <c r="I17" s="38">
        <f>I16+I15</f>
        <v/>
      </c>
      <c r="J17" s="38">
        <f>J16+J15</f>
        <v/>
      </c>
      <c r="K17" s="38">
        <f>K16+K15</f>
        <v/>
      </c>
      <c r="L17" s="38">
        <f>L16+L15</f>
        <v/>
      </c>
      <c r="M17" s="38">
        <f>M16+M15</f>
        <v/>
      </c>
      <c r="N17" s="38">
        <f>N16+N15</f>
        <v/>
      </c>
      <c r="O17" s="39">
        <f>N17</f>
        <v/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19" t="inlineStr">
        <is>
          <t>B. WITH €500k loan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</row>
    <row r="21">
      <c r="A21" s="20" t="inlineStr">
        <is>
          <t>Net profit</t>
        </is>
      </c>
      <c r="B21" s="2" t="n"/>
      <c r="C21" s="28">
        <f>'P&amp;L'!C25</f>
        <v/>
      </c>
      <c r="D21" s="28">
        <f>'P&amp;L'!D25</f>
        <v/>
      </c>
      <c r="E21" s="28">
        <f>'P&amp;L'!E25</f>
        <v/>
      </c>
      <c r="F21" s="28">
        <f>'P&amp;L'!F25</f>
        <v/>
      </c>
      <c r="G21" s="28">
        <f>'P&amp;L'!G25</f>
        <v/>
      </c>
      <c r="H21" s="28">
        <f>'P&amp;L'!H25</f>
        <v/>
      </c>
      <c r="I21" s="28">
        <f>'P&amp;L'!I25</f>
        <v/>
      </c>
      <c r="J21" s="28">
        <f>'P&amp;L'!J25</f>
        <v/>
      </c>
      <c r="K21" s="28">
        <f>'P&amp;L'!K25</f>
        <v/>
      </c>
      <c r="L21" s="28">
        <f>'P&amp;L'!L25</f>
        <v/>
      </c>
      <c r="M21" s="28">
        <f>'P&amp;L'!M25</f>
        <v/>
      </c>
      <c r="N21" s="28">
        <f>'P&amp;L'!N25</f>
        <v/>
      </c>
      <c r="O21" s="29">
        <f>SUM(C21:N21)</f>
        <v/>
      </c>
    </row>
    <row r="22">
      <c r="A22" s="20" t="inlineStr">
        <is>
          <t>+ Non-cash items (e.g. depreciation) – none in brief</t>
        </is>
      </c>
      <c r="B22" s="2" t="n"/>
      <c r="C22" s="28">
        <f>0</f>
        <v/>
      </c>
      <c r="D22" s="28">
        <f>0</f>
        <v/>
      </c>
      <c r="E22" s="28">
        <f>0</f>
        <v/>
      </c>
      <c r="F22" s="28">
        <f>0</f>
        <v/>
      </c>
      <c r="G22" s="28">
        <f>0</f>
        <v/>
      </c>
      <c r="H22" s="28">
        <f>0</f>
        <v/>
      </c>
      <c r="I22" s="28">
        <f>0</f>
        <v/>
      </c>
      <c r="J22" s="28">
        <f>0</f>
        <v/>
      </c>
      <c r="K22" s="28">
        <f>0</f>
        <v/>
      </c>
      <c r="L22" s="28">
        <f>0</f>
        <v/>
      </c>
      <c r="M22" s="28">
        <f>0</f>
        <v/>
      </c>
      <c r="N22" s="28">
        <f>0</f>
        <v/>
      </c>
      <c r="O22" s="29">
        <f>SUM(C22:N22)</f>
        <v/>
      </c>
    </row>
    <row r="23">
      <c r="A23" s="20" t="inlineStr">
        <is>
          <t>± Change in working capital – none in brief</t>
        </is>
      </c>
      <c r="B23" s="2" t="n"/>
      <c r="C23" s="28">
        <f>0</f>
        <v/>
      </c>
      <c r="D23" s="28">
        <f>0</f>
        <v/>
      </c>
      <c r="E23" s="28">
        <f>0</f>
        <v/>
      </c>
      <c r="F23" s="28">
        <f>0</f>
        <v/>
      </c>
      <c r="G23" s="28">
        <f>0</f>
        <v/>
      </c>
      <c r="H23" s="28">
        <f>0</f>
        <v/>
      </c>
      <c r="I23" s="28">
        <f>0</f>
        <v/>
      </c>
      <c r="J23" s="28">
        <f>0</f>
        <v/>
      </c>
      <c r="K23" s="28">
        <f>0</f>
        <v/>
      </c>
      <c r="L23" s="28">
        <f>0</f>
        <v/>
      </c>
      <c r="M23" s="28">
        <f>0</f>
        <v/>
      </c>
      <c r="N23" s="28">
        <f>0</f>
        <v/>
      </c>
      <c r="O23" s="29">
        <f>SUM(C23:N23)</f>
        <v/>
      </c>
    </row>
    <row r="24">
      <c r="A24" s="23" t="inlineStr">
        <is>
          <t>Cash flow from operations</t>
        </is>
      </c>
      <c r="B24" s="24" t="n"/>
      <c r="C24" s="30">
        <f>SUM(C21:C23)</f>
        <v/>
      </c>
      <c r="D24" s="30">
        <f>SUM(D21:D23)</f>
        <v/>
      </c>
      <c r="E24" s="30">
        <f>SUM(E21:E23)</f>
        <v/>
      </c>
      <c r="F24" s="30">
        <f>SUM(F21:F23)</f>
        <v/>
      </c>
      <c r="G24" s="30">
        <f>SUM(G21:G23)</f>
        <v/>
      </c>
      <c r="H24" s="30">
        <f>SUM(H21:H23)</f>
        <v/>
      </c>
      <c r="I24" s="30">
        <f>SUM(I21:I23)</f>
        <v/>
      </c>
      <c r="J24" s="30">
        <f>SUM(J21:J23)</f>
        <v/>
      </c>
      <c r="K24" s="30">
        <f>SUM(K21:K23)</f>
        <v/>
      </c>
      <c r="L24" s="30">
        <f>SUM(L21:L23)</f>
        <v/>
      </c>
      <c r="M24" s="30">
        <f>SUM(M21:M23)</f>
        <v/>
      </c>
      <c r="N24" s="30">
        <f>SUM(N21:N23)</f>
        <v/>
      </c>
      <c r="O24" s="31">
        <f>SUM(C24:N24)</f>
        <v/>
      </c>
    </row>
    <row r="25">
      <c r="A25" s="20" t="inlineStr">
        <is>
          <t>Cash flow from investing – none in brief</t>
        </is>
      </c>
      <c r="B25" s="2" t="n"/>
      <c r="C25" s="28">
        <f>0</f>
        <v/>
      </c>
      <c r="D25" s="28">
        <f>0</f>
        <v/>
      </c>
      <c r="E25" s="28">
        <f>0</f>
        <v/>
      </c>
      <c r="F25" s="28">
        <f>0</f>
        <v/>
      </c>
      <c r="G25" s="28">
        <f>0</f>
        <v/>
      </c>
      <c r="H25" s="28">
        <f>0</f>
        <v/>
      </c>
      <c r="I25" s="28">
        <f>0</f>
        <v/>
      </c>
      <c r="J25" s="28">
        <f>0</f>
        <v/>
      </c>
      <c r="K25" s="28">
        <f>0</f>
        <v/>
      </c>
      <c r="L25" s="28">
        <f>0</f>
        <v/>
      </c>
      <c r="M25" s="28">
        <f>0</f>
        <v/>
      </c>
      <c r="N25" s="28">
        <f>0</f>
        <v/>
      </c>
      <c r="O25" s="29">
        <f>SUM(C25:N25)</f>
        <v/>
      </c>
    </row>
    <row r="26">
      <c r="A26" s="20" t="inlineStr">
        <is>
          <t>Loan received (€500k × FX)</t>
        </is>
      </c>
      <c r="B26" s="2" t="n"/>
      <c r="C26" s="28">
        <f>IF(C$4=1,Assumptions!$C$26*Assumptions!$C$30,0)</f>
        <v/>
      </c>
      <c r="D26" s="28">
        <f>IF(D$4=1,Assumptions!$C$26*Assumptions!$C$30,0)</f>
        <v/>
      </c>
      <c r="E26" s="28">
        <f>IF(E$4=1,Assumptions!$C$26*Assumptions!$C$30,0)</f>
        <v/>
      </c>
      <c r="F26" s="28">
        <f>IF(F$4=1,Assumptions!$C$26*Assumptions!$C$30,0)</f>
        <v/>
      </c>
      <c r="G26" s="28">
        <f>IF(G$4=1,Assumptions!$C$26*Assumptions!$C$30,0)</f>
        <v/>
      </c>
      <c r="H26" s="28">
        <f>IF(H$4=1,Assumptions!$C$26*Assumptions!$C$30,0)</f>
        <v/>
      </c>
      <c r="I26" s="28">
        <f>IF(I$4=1,Assumptions!$C$26*Assumptions!$C$30,0)</f>
        <v/>
      </c>
      <c r="J26" s="28">
        <f>IF(J$4=1,Assumptions!$C$26*Assumptions!$C$30,0)</f>
        <v/>
      </c>
      <c r="K26" s="28">
        <f>IF(K$4=1,Assumptions!$C$26*Assumptions!$C$30,0)</f>
        <v/>
      </c>
      <c r="L26" s="28">
        <f>IF(L$4=1,Assumptions!$C$26*Assumptions!$C$30,0)</f>
        <v/>
      </c>
      <c r="M26" s="28">
        <f>IF(M$4=1,Assumptions!$C$26*Assumptions!$C$30,0)</f>
        <v/>
      </c>
      <c r="N26" s="28">
        <f>IF(N$4=1,Assumptions!$C$26*Assumptions!$C$30,0)</f>
        <v/>
      </c>
      <c r="O26" s="29">
        <f>SUM(C26:N26)</f>
        <v/>
      </c>
    </row>
    <row r="27">
      <c r="A27" s="20" t="inlineStr">
        <is>
          <t>Loan principal repaid</t>
        </is>
      </c>
      <c r="B27" s="2" t="n"/>
      <c r="C27" s="28">
        <f>-INDEX(Loan!$I$6:$I$29,C$4)</f>
        <v/>
      </c>
      <c r="D27" s="28">
        <f>-INDEX(Loan!$I$6:$I$29,D$4)</f>
        <v/>
      </c>
      <c r="E27" s="28">
        <f>-INDEX(Loan!$I$6:$I$29,E$4)</f>
        <v/>
      </c>
      <c r="F27" s="28">
        <f>-INDEX(Loan!$I$6:$I$29,F$4)</f>
        <v/>
      </c>
      <c r="G27" s="28">
        <f>-INDEX(Loan!$I$6:$I$29,G$4)</f>
        <v/>
      </c>
      <c r="H27" s="28">
        <f>-INDEX(Loan!$I$6:$I$29,H$4)</f>
        <v/>
      </c>
      <c r="I27" s="28">
        <f>-INDEX(Loan!$I$6:$I$29,I$4)</f>
        <v/>
      </c>
      <c r="J27" s="28">
        <f>-INDEX(Loan!$I$6:$I$29,J$4)</f>
        <v/>
      </c>
      <c r="K27" s="28">
        <f>-INDEX(Loan!$I$6:$I$29,K$4)</f>
        <v/>
      </c>
      <c r="L27" s="28">
        <f>-INDEX(Loan!$I$6:$I$29,L$4)</f>
        <v/>
      </c>
      <c r="M27" s="28">
        <f>-INDEX(Loan!$I$6:$I$29,M$4)</f>
        <v/>
      </c>
      <c r="N27" s="28">
        <f>-INDEX(Loan!$I$6:$I$29,N$4)</f>
        <v/>
      </c>
      <c r="O27" s="29">
        <f>SUM(C27:N27)</f>
        <v/>
      </c>
    </row>
    <row r="28">
      <c r="A28" s="23" t="inlineStr">
        <is>
          <t>Cash flow from financing</t>
        </is>
      </c>
      <c r="B28" s="24" t="n"/>
      <c r="C28" s="30">
        <f>C26+C27</f>
        <v/>
      </c>
      <c r="D28" s="30">
        <f>D26+D27</f>
        <v/>
      </c>
      <c r="E28" s="30">
        <f>E26+E27</f>
        <v/>
      </c>
      <c r="F28" s="30">
        <f>F26+F27</f>
        <v/>
      </c>
      <c r="G28" s="30">
        <f>G26+G27</f>
        <v/>
      </c>
      <c r="H28" s="30">
        <f>H26+H27</f>
        <v/>
      </c>
      <c r="I28" s="30">
        <f>I26+I27</f>
        <v/>
      </c>
      <c r="J28" s="30">
        <f>J26+J27</f>
        <v/>
      </c>
      <c r="K28" s="30">
        <f>K26+K27</f>
        <v/>
      </c>
      <c r="L28" s="30">
        <f>L26+L27</f>
        <v/>
      </c>
      <c r="M28" s="30">
        <f>M26+M27</f>
        <v/>
      </c>
      <c r="N28" s="30">
        <f>N26+N27</f>
        <v/>
      </c>
      <c r="O28" s="31">
        <f>SUM(C28:N28)</f>
        <v/>
      </c>
    </row>
    <row r="29">
      <c r="A29" s="32" t="inlineStr">
        <is>
          <t>Net change in cash</t>
        </is>
      </c>
      <c r="B29" s="2" t="n"/>
      <c r="C29" s="33">
        <f>C24+C25+C28</f>
        <v/>
      </c>
      <c r="D29" s="33">
        <f>D24+D25+D28</f>
        <v/>
      </c>
      <c r="E29" s="33">
        <f>E24+E25+E28</f>
        <v/>
      </c>
      <c r="F29" s="33">
        <f>F24+F25+F28</f>
        <v/>
      </c>
      <c r="G29" s="33">
        <f>G24+G25+G28</f>
        <v/>
      </c>
      <c r="H29" s="33">
        <f>H24+H25+H28</f>
        <v/>
      </c>
      <c r="I29" s="33">
        <f>I24+I25+I28</f>
        <v/>
      </c>
      <c r="J29" s="33">
        <f>J24+J25+J28</f>
        <v/>
      </c>
      <c r="K29" s="33">
        <f>K24+K25+K28</f>
        <v/>
      </c>
      <c r="L29" s="33">
        <f>L24+L25+L28</f>
        <v/>
      </c>
      <c r="M29" s="33">
        <f>M24+M25+M28</f>
        <v/>
      </c>
      <c r="N29" s="33">
        <f>N24+N25+N28</f>
        <v/>
      </c>
      <c r="O29" s="29">
        <f>SUM(C29:N29)</f>
        <v/>
      </c>
    </row>
    <row r="30">
      <c r="A30" s="20" t="inlineStr">
        <is>
          <t>Opening cash</t>
        </is>
      </c>
      <c r="B30" s="2" t="n"/>
      <c r="C30" s="28">
        <f>Assumptions!$C$23</f>
        <v/>
      </c>
      <c r="D30" s="28">
        <f>C31</f>
        <v/>
      </c>
      <c r="E30" s="28">
        <f>D31</f>
        <v/>
      </c>
      <c r="F30" s="28">
        <f>E31</f>
        <v/>
      </c>
      <c r="G30" s="28">
        <f>F31</f>
        <v/>
      </c>
      <c r="H30" s="28">
        <f>G31</f>
        <v/>
      </c>
      <c r="I30" s="28">
        <f>H31</f>
        <v/>
      </c>
      <c r="J30" s="28">
        <f>I31</f>
        <v/>
      </c>
      <c r="K30" s="28">
        <f>J31</f>
        <v/>
      </c>
      <c r="L30" s="28">
        <f>K31</f>
        <v/>
      </c>
      <c r="M30" s="28">
        <f>L31</f>
        <v/>
      </c>
      <c r="N30" s="28">
        <f>M31</f>
        <v/>
      </c>
      <c r="O30" s="29">
        <f>C30</f>
        <v/>
      </c>
    </row>
    <row r="31">
      <c r="A31" s="36" t="inlineStr">
        <is>
          <t>Closing cash</t>
        </is>
      </c>
      <c r="B31" s="37" t="n"/>
      <c r="C31" s="38">
        <f>C30+C29</f>
        <v/>
      </c>
      <c r="D31" s="38">
        <f>D30+D29</f>
        <v/>
      </c>
      <c r="E31" s="38">
        <f>E30+E29</f>
        <v/>
      </c>
      <c r="F31" s="38">
        <f>F30+F29</f>
        <v/>
      </c>
      <c r="G31" s="38">
        <f>G30+G29</f>
        <v/>
      </c>
      <c r="H31" s="38">
        <f>H30+H29</f>
        <v/>
      </c>
      <c r="I31" s="38">
        <f>I30+I29</f>
        <v/>
      </c>
      <c r="J31" s="38">
        <f>J30+J29</f>
        <v/>
      </c>
      <c r="K31" s="38">
        <f>K30+K29</f>
        <v/>
      </c>
      <c r="L31" s="38">
        <f>L30+L29</f>
        <v/>
      </c>
      <c r="M31" s="38">
        <f>M30+M29</f>
        <v/>
      </c>
      <c r="N31" s="38">
        <f>N30+N29</f>
        <v/>
      </c>
      <c r="O31" s="39">
        <f>N31</f>
        <v/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1F2A44"/>
    <outlinePr summaryBelow="1" summaryRight="1"/>
    <pageSetUpPr fitToPage="1"/>
  </sheetPr>
  <dimension ref="A1:L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" customWidth="1" min="3" max="3"/>
    <col width="17" customWidth="1" min="4" max="4"/>
    <col width="13" customWidth="1" min="5" max="5"/>
    <col width="13" customWidth="1" min="6" max="6"/>
    <col width="15" customWidth="1" min="7" max="7"/>
    <col width="17" customWidth="1" min="8" max="8"/>
    <col width="13" customWidth="1" min="9" max="9"/>
    <col width="13" customWidth="1" min="10" max="10"/>
    <col width="15" customWidth="1" min="11" max="11"/>
    <col width="17" customWidth="1" min="12" max="12"/>
  </cols>
  <sheetData>
    <row r="1">
      <c r="A1" s="1" t="inlineStr">
        <is>
          <t>€500k loan – repayment schedule (24 months)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6% a year = 0.5% a month. Months 1–6: interest only. Months 7–24: equal monthly payments. Converted to USD at the Assumptions FX rate.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30" customHeight="1">
      <c r="A5" s="40" t="inlineStr">
        <is>
          <t>Month</t>
        </is>
      </c>
      <c r="B5" s="40" t="inlineStr">
        <is>
          <t>Phase</t>
        </is>
      </c>
      <c r="C5" s="40" t="inlineStr"/>
      <c r="D5" s="40" t="inlineStr">
        <is>
          <t>Opening balance (€)</t>
        </is>
      </c>
      <c r="E5" s="40" t="inlineStr">
        <is>
          <t>Interest (€)</t>
        </is>
      </c>
      <c r="F5" s="40" t="inlineStr">
        <is>
          <t>Principal (€)</t>
        </is>
      </c>
      <c r="G5" s="40" t="inlineStr">
        <is>
          <t>Total payment (€)</t>
        </is>
      </c>
      <c r="H5" s="40" t="inlineStr">
        <is>
          <t>Closing balance (€)</t>
        </is>
      </c>
      <c r="I5" s="40" t="inlineStr">
        <is>
          <t>Principal ($)</t>
        </is>
      </c>
      <c r="J5" s="40" t="inlineStr">
        <is>
          <t>Interest ($)</t>
        </is>
      </c>
      <c r="K5" s="40" t="inlineStr">
        <is>
          <t>Total payment ($)</t>
        </is>
      </c>
      <c r="L5" s="40" t="inlineStr">
        <is>
          <t>Closing balance ($)</t>
        </is>
      </c>
    </row>
    <row r="6">
      <c r="A6" s="2" t="n">
        <v>1</v>
      </c>
      <c r="B6" s="2">
        <f>IF(A6&lt;=Assumptions!$C$29,"Interest only","Repaying")</f>
        <v/>
      </c>
      <c r="C6" s="2" t="n"/>
      <c r="D6" s="41">
        <f>Assumptions!$C$26</f>
        <v/>
      </c>
      <c r="E6" s="41">
        <f>D6*Assumptions!$C$27/12</f>
        <v/>
      </c>
      <c r="F6" s="41">
        <f>G6-E6</f>
        <v/>
      </c>
      <c r="G6" s="41">
        <f>IF(A6&lt;=Assumptions!$C$29,E6,-PMT(Assumptions!$C$27/12,Assumptions!$C$28-Assumptions!$C$29,Assumptions!$C$26))</f>
        <v/>
      </c>
      <c r="H6" s="41">
        <f>D6-F6</f>
        <v/>
      </c>
      <c r="I6" s="8">
        <f>F6*Assumptions!$C$30</f>
        <v/>
      </c>
      <c r="J6" s="8">
        <f>E6*Assumptions!$C$30</f>
        <v/>
      </c>
      <c r="K6" s="8">
        <f>G6*Assumptions!$C$30</f>
        <v/>
      </c>
      <c r="L6" s="8">
        <f>H6*Assumptions!$C$30</f>
        <v/>
      </c>
    </row>
    <row r="7">
      <c r="A7" s="2" t="n">
        <v>2</v>
      </c>
      <c r="B7" s="2">
        <f>IF(A7&lt;=Assumptions!$C$29,"Interest only","Repaying")</f>
        <v/>
      </c>
      <c r="C7" s="2" t="n"/>
      <c r="D7" s="41">
        <f>H6</f>
        <v/>
      </c>
      <c r="E7" s="41">
        <f>D7*Assumptions!$C$27/12</f>
        <v/>
      </c>
      <c r="F7" s="41">
        <f>G7-E7</f>
        <v/>
      </c>
      <c r="G7" s="41">
        <f>IF(A7&lt;=Assumptions!$C$29,E7,-PMT(Assumptions!$C$27/12,Assumptions!$C$28-Assumptions!$C$29,Assumptions!$C$26))</f>
        <v/>
      </c>
      <c r="H7" s="41">
        <f>D7-F7</f>
        <v/>
      </c>
      <c r="I7" s="8">
        <f>F7*Assumptions!$C$30</f>
        <v/>
      </c>
      <c r="J7" s="8">
        <f>E7*Assumptions!$C$30</f>
        <v/>
      </c>
      <c r="K7" s="8">
        <f>G7*Assumptions!$C$30</f>
        <v/>
      </c>
      <c r="L7" s="8">
        <f>H7*Assumptions!$C$30</f>
        <v/>
      </c>
    </row>
    <row r="8">
      <c r="A8" s="2" t="n">
        <v>3</v>
      </c>
      <c r="B8" s="2">
        <f>IF(A8&lt;=Assumptions!$C$29,"Interest only","Repaying")</f>
        <v/>
      </c>
      <c r="C8" s="2" t="n"/>
      <c r="D8" s="41">
        <f>H7</f>
        <v/>
      </c>
      <c r="E8" s="41">
        <f>D8*Assumptions!$C$27/12</f>
        <v/>
      </c>
      <c r="F8" s="41">
        <f>G8-E8</f>
        <v/>
      </c>
      <c r="G8" s="41">
        <f>IF(A8&lt;=Assumptions!$C$29,E8,-PMT(Assumptions!$C$27/12,Assumptions!$C$28-Assumptions!$C$29,Assumptions!$C$26))</f>
        <v/>
      </c>
      <c r="H8" s="41">
        <f>D8-F8</f>
        <v/>
      </c>
      <c r="I8" s="8">
        <f>F8*Assumptions!$C$30</f>
        <v/>
      </c>
      <c r="J8" s="8">
        <f>E8*Assumptions!$C$30</f>
        <v/>
      </c>
      <c r="K8" s="8">
        <f>G8*Assumptions!$C$30</f>
        <v/>
      </c>
      <c r="L8" s="8">
        <f>H8*Assumptions!$C$30</f>
        <v/>
      </c>
    </row>
    <row r="9">
      <c r="A9" s="2" t="n">
        <v>4</v>
      </c>
      <c r="B9" s="2">
        <f>IF(A9&lt;=Assumptions!$C$29,"Interest only","Repaying")</f>
        <v/>
      </c>
      <c r="C9" s="2" t="n"/>
      <c r="D9" s="41">
        <f>H8</f>
        <v/>
      </c>
      <c r="E9" s="41">
        <f>D9*Assumptions!$C$27/12</f>
        <v/>
      </c>
      <c r="F9" s="41">
        <f>G9-E9</f>
        <v/>
      </c>
      <c r="G9" s="41">
        <f>IF(A9&lt;=Assumptions!$C$29,E9,-PMT(Assumptions!$C$27/12,Assumptions!$C$28-Assumptions!$C$29,Assumptions!$C$26))</f>
        <v/>
      </c>
      <c r="H9" s="41">
        <f>D9-F9</f>
        <v/>
      </c>
      <c r="I9" s="8">
        <f>F9*Assumptions!$C$30</f>
        <v/>
      </c>
      <c r="J9" s="8">
        <f>E9*Assumptions!$C$30</f>
        <v/>
      </c>
      <c r="K9" s="8">
        <f>G9*Assumptions!$C$30</f>
        <v/>
      </c>
      <c r="L9" s="8">
        <f>H9*Assumptions!$C$30</f>
        <v/>
      </c>
    </row>
    <row r="10">
      <c r="A10" s="2" t="n">
        <v>5</v>
      </c>
      <c r="B10" s="2">
        <f>IF(A10&lt;=Assumptions!$C$29,"Interest only","Repaying")</f>
        <v/>
      </c>
      <c r="C10" s="2" t="n"/>
      <c r="D10" s="41">
        <f>H9</f>
        <v/>
      </c>
      <c r="E10" s="41">
        <f>D10*Assumptions!$C$27/12</f>
        <v/>
      </c>
      <c r="F10" s="41">
        <f>G10-E10</f>
        <v/>
      </c>
      <c r="G10" s="41">
        <f>IF(A10&lt;=Assumptions!$C$29,E10,-PMT(Assumptions!$C$27/12,Assumptions!$C$28-Assumptions!$C$29,Assumptions!$C$26))</f>
        <v/>
      </c>
      <c r="H10" s="41">
        <f>D10-F10</f>
        <v/>
      </c>
      <c r="I10" s="8">
        <f>F10*Assumptions!$C$30</f>
        <v/>
      </c>
      <c r="J10" s="8">
        <f>E10*Assumptions!$C$30</f>
        <v/>
      </c>
      <c r="K10" s="8">
        <f>G10*Assumptions!$C$30</f>
        <v/>
      </c>
      <c r="L10" s="8">
        <f>H10*Assumptions!$C$30</f>
        <v/>
      </c>
    </row>
    <row r="11">
      <c r="A11" s="2" t="n">
        <v>6</v>
      </c>
      <c r="B11" s="2">
        <f>IF(A11&lt;=Assumptions!$C$29,"Interest only","Repaying")</f>
        <v/>
      </c>
      <c r="C11" s="2" t="n"/>
      <c r="D11" s="41">
        <f>H10</f>
        <v/>
      </c>
      <c r="E11" s="41">
        <f>D11*Assumptions!$C$27/12</f>
        <v/>
      </c>
      <c r="F11" s="41">
        <f>G11-E11</f>
        <v/>
      </c>
      <c r="G11" s="41">
        <f>IF(A11&lt;=Assumptions!$C$29,E11,-PMT(Assumptions!$C$27/12,Assumptions!$C$28-Assumptions!$C$29,Assumptions!$C$26))</f>
        <v/>
      </c>
      <c r="H11" s="41">
        <f>D11-F11</f>
        <v/>
      </c>
      <c r="I11" s="8">
        <f>F11*Assumptions!$C$30</f>
        <v/>
      </c>
      <c r="J11" s="8">
        <f>E11*Assumptions!$C$30</f>
        <v/>
      </c>
      <c r="K11" s="8">
        <f>G11*Assumptions!$C$30</f>
        <v/>
      </c>
      <c r="L11" s="8">
        <f>H11*Assumptions!$C$30</f>
        <v/>
      </c>
    </row>
    <row r="12">
      <c r="A12" s="2" t="n">
        <v>7</v>
      </c>
      <c r="B12" s="2">
        <f>IF(A12&lt;=Assumptions!$C$29,"Interest only","Repaying")</f>
        <v/>
      </c>
      <c r="C12" s="2" t="n"/>
      <c r="D12" s="41">
        <f>H11</f>
        <v/>
      </c>
      <c r="E12" s="41">
        <f>D12*Assumptions!$C$27/12</f>
        <v/>
      </c>
      <c r="F12" s="41">
        <f>G12-E12</f>
        <v/>
      </c>
      <c r="G12" s="41">
        <f>IF(A12&lt;=Assumptions!$C$29,E12,-PMT(Assumptions!$C$27/12,Assumptions!$C$28-Assumptions!$C$29,Assumptions!$C$26))</f>
        <v/>
      </c>
      <c r="H12" s="41">
        <f>D12-F12</f>
        <v/>
      </c>
      <c r="I12" s="8">
        <f>F12*Assumptions!$C$30</f>
        <v/>
      </c>
      <c r="J12" s="8">
        <f>E12*Assumptions!$C$30</f>
        <v/>
      </c>
      <c r="K12" s="8">
        <f>G12*Assumptions!$C$30</f>
        <v/>
      </c>
      <c r="L12" s="8">
        <f>H12*Assumptions!$C$30</f>
        <v/>
      </c>
    </row>
    <row r="13">
      <c r="A13" s="2" t="n">
        <v>8</v>
      </c>
      <c r="B13" s="2">
        <f>IF(A13&lt;=Assumptions!$C$29,"Interest only","Repaying")</f>
        <v/>
      </c>
      <c r="C13" s="2" t="n"/>
      <c r="D13" s="41">
        <f>H12</f>
        <v/>
      </c>
      <c r="E13" s="41">
        <f>D13*Assumptions!$C$27/12</f>
        <v/>
      </c>
      <c r="F13" s="41">
        <f>G13-E13</f>
        <v/>
      </c>
      <c r="G13" s="41">
        <f>IF(A13&lt;=Assumptions!$C$29,E13,-PMT(Assumptions!$C$27/12,Assumptions!$C$28-Assumptions!$C$29,Assumptions!$C$26))</f>
        <v/>
      </c>
      <c r="H13" s="41">
        <f>D13-F13</f>
        <v/>
      </c>
      <c r="I13" s="8">
        <f>F13*Assumptions!$C$30</f>
        <v/>
      </c>
      <c r="J13" s="8">
        <f>E13*Assumptions!$C$30</f>
        <v/>
      </c>
      <c r="K13" s="8">
        <f>G13*Assumptions!$C$30</f>
        <v/>
      </c>
      <c r="L13" s="8">
        <f>H13*Assumptions!$C$30</f>
        <v/>
      </c>
    </row>
    <row r="14">
      <c r="A14" s="2" t="n">
        <v>9</v>
      </c>
      <c r="B14" s="2">
        <f>IF(A14&lt;=Assumptions!$C$29,"Interest only","Repaying")</f>
        <v/>
      </c>
      <c r="C14" s="2" t="n"/>
      <c r="D14" s="41">
        <f>H13</f>
        <v/>
      </c>
      <c r="E14" s="41">
        <f>D14*Assumptions!$C$27/12</f>
        <v/>
      </c>
      <c r="F14" s="41">
        <f>G14-E14</f>
        <v/>
      </c>
      <c r="G14" s="41">
        <f>IF(A14&lt;=Assumptions!$C$29,E14,-PMT(Assumptions!$C$27/12,Assumptions!$C$28-Assumptions!$C$29,Assumptions!$C$26))</f>
        <v/>
      </c>
      <c r="H14" s="41">
        <f>D14-F14</f>
        <v/>
      </c>
      <c r="I14" s="8">
        <f>F14*Assumptions!$C$30</f>
        <v/>
      </c>
      <c r="J14" s="8">
        <f>E14*Assumptions!$C$30</f>
        <v/>
      </c>
      <c r="K14" s="8">
        <f>G14*Assumptions!$C$30</f>
        <v/>
      </c>
      <c r="L14" s="8">
        <f>H14*Assumptions!$C$30</f>
        <v/>
      </c>
    </row>
    <row r="15">
      <c r="A15" s="2" t="n">
        <v>10</v>
      </c>
      <c r="B15" s="2">
        <f>IF(A15&lt;=Assumptions!$C$29,"Interest only","Repaying")</f>
        <v/>
      </c>
      <c r="C15" s="2" t="n"/>
      <c r="D15" s="41">
        <f>H14</f>
        <v/>
      </c>
      <c r="E15" s="41">
        <f>D15*Assumptions!$C$27/12</f>
        <v/>
      </c>
      <c r="F15" s="41">
        <f>G15-E15</f>
        <v/>
      </c>
      <c r="G15" s="41">
        <f>IF(A15&lt;=Assumptions!$C$29,E15,-PMT(Assumptions!$C$27/12,Assumptions!$C$28-Assumptions!$C$29,Assumptions!$C$26))</f>
        <v/>
      </c>
      <c r="H15" s="41">
        <f>D15-F15</f>
        <v/>
      </c>
      <c r="I15" s="8">
        <f>F15*Assumptions!$C$30</f>
        <v/>
      </c>
      <c r="J15" s="8">
        <f>E15*Assumptions!$C$30</f>
        <v/>
      </c>
      <c r="K15" s="8">
        <f>G15*Assumptions!$C$30</f>
        <v/>
      </c>
      <c r="L15" s="8">
        <f>H15*Assumptions!$C$30</f>
        <v/>
      </c>
    </row>
    <row r="16">
      <c r="A16" s="2" t="n">
        <v>11</v>
      </c>
      <c r="B16" s="2">
        <f>IF(A16&lt;=Assumptions!$C$29,"Interest only","Repaying")</f>
        <v/>
      </c>
      <c r="C16" s="2" t="n"/>
      <c r="D16" s="41">
        <f>H15</f>
        <v/>
      </c>
      <c r="E16" s="41">
        <f>D16*Assumptions!$C$27/12</f>
        <v/>
      </c>
      <c r="F16" s="41">
        <f>G16-E16</f>
        <v/>
      </c>
      <c r="G16" s="41">
        <f>IF(A16&lt;=Assumptions!$C$29,E16,-PMT(Assumptions!$C$27/12,Assumptions!$C$28-Assumptions!$C$29,Assumptions!$C$26))</f>
        <v/>
      </c>
      <c r="H16" s="41">
        <f>D16-F16</f>
        <v/>
      </c>
      <c r="I16" s="8">
        <f>F16*Assumptions!$C$30</f>
        <v/>
      </c>
      <c r="J16" s="8">
        <f>E16*Assumptions!$C$30</f>
        <v/>
      </c>
      <c r="K16" s="8">
        <f>G16*Assumptions!$C$30</f>
        <v/>
      </c>
      <c r="L16" s="8">
        <f>H16*Assumptions!$C$30</f>
        <v/>
      </c>
    </row>
    <row r="17">
      <c r="A17" s="42" t="n">
        <v>12</v>
      </c>
      <c r="B17" s="42">
        <f>IF(A17&lt;=Assumptions!$C$29,"Interest only","Repaying")</f>
        <v/>
      </c>
      <c r="C17" s="42" t="n"/>
      <c r="D17" s="43">
        <f>H16</f>
        <v/>
      </c>
      <c r="E17" s="43">
        <f>D17*Assumptions!$C$27/12</f>
        <v/>
      </c>
      <c r="F17" s="43">
        <f>G17-E17</f>
        <v/>
      </c>
      <c r="G17" s="43">
        <f>IF(A17&lt;=Assumptions!$C$29,E17,-PMT(Assumptions!$C$27/12,Assumptions!$C$28-Assumptions!$C$29,Assumptions!$C$26))</f>
        <v/>
      </c>
      <c r="H17" s="43">
        <f>D17-F17</f>
        <v/>
      </c>
      <c r="I17" s="44">
        <f>F17*Assumptions!$C$30</f>
        <v/>
      </c>
      <c r="J17" s="44">
        <f>E17*Assumptions!$C$30</f>
        <v/>
      </c>
      <c r="K17" s="44">
        <f>G17*Assumptions!$C$30</f>
        <v/>
      </c>
      <c r="L17" s="44">
        <f>H17*Assumptions!$C$30</f>
        <v/>
      </c>
    </row>
    <row r="18">
      <c r="A18" s="2" t="n">
        <v>13</v>
      </c>
      <c r="B18" s="2">
        <f>IF(A18&lt;=Assumptions!$C$29,"Interest only","Repaying")</f>
        <v/>
      </c>
      <c r="C18" s="2" t="n"/>
      <c r="D18" s="41">
        <f>H17</f>
        <v/>
      </c>
      <c r="E18" s="41">
        <f>D18*Assumptions!$C$27/12</f>
        <v/>
      </c>
      <c r="F18" s="41">
        <f>G18-E18</f>
        <v/>
      </c>
      <c r="G18" s="41">
        <f>IF(A18&lt;=Assumptions!$C$29,E18,-PMT(Assumptions!$C$27/12,Assumptions!$C$28-Assumptions!$C$29,Assumptions!$C$26))</f>
        <v/>
      </c>
      <c r="H18" s="41">
        <f>D18-F18</f>
        <v/>
      </c>
      <c r="I18" s="8">
        <f>F18*Assumptions!$C$30</f>
        <v/>
      </c>
      <c r="J18" s="8">
        <f>E18*Assumptions!$C$30</f>
        <v/>
      </c>
      <c r="K18" s="8">
        <f>G18*Assumptions!$C$30</f>
        <v/>
      </c>
      <c r="L18" s="8">
        <f>H18*Assumptions!$C$30</f>
        <v/>
      </c>
    </row>
    <row r="19">
      <c r="A19" s="2" t="n">
        <v>14</v>
      </c>
      <c r="B19" s="2">
        <f>IF(A19&lt;=Assumptions!$C$29,"Interest only","Repaying")</f>
        <v/>
      </c>
      <c r="C19" s="2" t="n"/>
      <c r="D19" s="41">
        <f>H18</f>
        <v/>
      </c>
      <c r="E19" s="41">
        <f>D19*Assumptions!$C$27/12</f>
        <v/>
      </c>
      <c r="F19" s="41">
        <f>G19-E19</f>
        <v/>
      </c>
      <c r="G19" s="41">
        <f>IF(A19&lt;=Assumptions!$C$29,E19,-PMT(Assumptions!$C$27/12,Assumptions!$C$28-Assumptions!$C$29,Assumptions!$C$26))</f>
        <v/>
      </c>
      <c r="H19" s="41">
        <f>D19-F19</f>
        <v/>
      </c>
      <c r="I19" s="8">
        <f>F19*Assumptions!$C$30</f>
        <v/>
      </c>
      <c r="J19" s="8">
        <f>E19*Assumptions!$C$30</f>
        <v/>
      </c>
      <c r="K19" s="8">
        <f>G19*Assumptions!$C$30</f>
        <v/>
      </c>
      <c r="L19" s="8">
        <f>H19*Assumptions!$C$30</f>
        <v/>
      </c>
    </row>
    <row r="20">
      <c r="A20" s="2" t="n">
        <v>15</v>
      </c>
      <c r="B20" s="2">
        <f>IF(A20&lt;=Assumptions!$C$29,"Interest only","Repaying")</f>
        <v/>
      </c>
      <c r="C20" s="2" t="n"/>
      <c r="D20" s="41">
        <f>H19</f>
        <v/>
      </c>
      <c r="E20" s="41">
        <f>D20*Assumptions!$C$27/12</f>
        <v/>
      </c>
      <c r="F20" s="41">
        <f>G20-E20</f>
        <v/>
      </c>
      <c r="G20" s="41">
        <f>IF(A20&lt;=Assumptions!$C$29,E20,-PMT(Assumptions!$C$27/12,Assumptions!$C$28-Assumptions!$C$29,Assumptions!$C$26))</f>
        <v/>
      </c>
      <c r="H20" s="41">
        <f>D20-F20</f>
        <v/>
      </c>
      <c r="I20" s="8">
        <f>F20*Assumptions!$C$30</f>
        <v/>
      </c>
      <c r="J20" s="8">
        <f>E20*Assumptions!$C$30</f>
        <v/>
      </c>
      <c r="K20" s="8">
        <f>G20*Assumptions!$C$30</f>
        <v/>
      </c>
      <c r="L20" s="8">
        <f>H20*Assumptions!$C$30</f>
        <v/>
      </c>
    </row>
    <row r="21">
      <c r="A21" s="2" t="n">
        <v>16</v>
      </c>
      <c r="B21" s="2">
        <f>IF(A21&lt;=Assumptions!$C$29,"Interest only","Repaying")</f>
        <v/>
      </c>
      <c r="C21" s="2" t="n"/>
      <c r="D21" s="41">
        <f>H20</f>
        <v/>
      </c>
      <c r="E21" s="41">
        <f>D21*Assumptions!$C$27/12</f>
        <v/>
      </c>
      <c r="F21" s="41">
        <f>G21-E21</f>
        <v/>
      </c>
      <c r="G21" s="41">
        <f>IF(A21&lt;=Assumptions!$C$29,E21,-PMT(Assumptions!$C$27/12,Assumptions!$C$28-Assumptions!$C$29,Assumptions!$C$26))</f>
        <v/>
      </c>
      <c r="H21" s="41">
        <f>D21-F21</f>
        <v/>
      </c>
      <c r="I21" s="8">
        <f>F21*Assumptions!$C$30</f>
        <v/>
      </c>
      <c r="J21" s="8">
        <f>E21*Assumptions!$C$30</f>
        <v/>
      </c>
      <c r="K21" s="8">
        <f>G21*Assumptions!$C$30</f>
        <v/>
      </c>
      <c r="L21" s="8">
        <f>H21*Assumptions!$C$30</f>
        <v/>
      </c>
    </row>
    <row r="22">
      <c r="A22" s="2" t="n">
        <v>17</v>
      </c>
      <c r="B22" s="2">
        <f>IF(A22&lt;=Assumptions!$C$29,"Interest only","Repaying")</f>
        <v/>
      </c>
      <c r="C22" s="2" t="n"/>
      <c r="D22" s="41">
        <f>H21</f>
        <v/>
      </c>
      <c r="E22" s="41">
        <f>D22*Assumptions!$C$27/12</f>
        <v/>
      </c>
      <c r="F22" s="41">
        <f>G22-E22</f>
        <v/>
      </c>
      <c r="G22" s="41">
        <f>IF(A22&lt;=Assumptions!$C$29,E22,-PMT(Assumptions!$C$27/12,Assumptions!$C$28-Assumptions!$C$29,Assumptions!$C$26))</f>
        <v/>
      </c>
      <c r="H22" s="41">
        <f>D22-F22</f>
        <v/>
      </c>
      <c r="I22" s="8">
        <f>F22*Assumptions!$C$30</f>
        <v/>
      </c>
      <c r="J22" s="8">
        <f>E22*Assumptions!$C$30</f>
        <v/>
      </c>
      <c r="K22" s="8">
        <f>G22*Assumptions!$C$30</f>
        <v/>
      </c>
      <c r="L22" s="8">
        <f>H22*Assumptions!$C$30</f>
        <v/>
      </c>
    </row>
    <row r="23">
      <c r="A23" s="2" t="n">
        <v>18</v>
      </c>
      <c r="B23" s="2">
        <f>IF(A23&lt;=Assumptions!$C$29,"Interest only","Repaying")</f>
        <v/>
      </c>
      <c r="C23" s="2" t="n"/>
      <c r="D23" s="41">
        <f>H22</f>
        <v/>
      </c>
      <c r="E23" s="41">
        <f>D23*Assumptions!$C$27/12</f>
        <v/>
      </c>
      <c r="F23" s="41">
        <f>G23-E23</f>
        <v/>
      </c>
      <c r="G23" s="41">
        <f>IF(A23&lt;=Assumptions!$C$29,E23,-PMT(Assumptions!$C$27/12,Assumptions!$C$28-Assumptions!$C$29,Assumptions!$C$26))</f>
        <v/>
      </c>
      <c r="H23" s="41">
        <f>D23-F23</f>
        <v/>
      </c>
      <c r="I23" s="8">
        <f>F23*Assumptions!$C$30</f>
        <v/>
      </c>
      <c r="J23" s="8">
        <f>E23*Assumptions!$C$30</f>
        <v/>
      </c>
      <c r="K23" s="8">
        <f>G23*Assumptions!$C$30</f>
        <v/>
      </c>
      <c r="L23" s="8">
        <f>H23*Assumptions!$C$30</f>
        <v/>
      </c>
    </row>
    <row r="24">
      <c r="A24" s="2" t="n">
        <v>19</v>
      </c>
      <c r="B24" s="2">
        <f>IF(A24&lt;=Assumptions!$C$29,"Interest only","Repaying")</f>
        <v/>
      </c>
      <c r="C24" s="2" t="n"/>
      <c r="D24" s="41">
        <f>H23</f>
        <v/>
      </c>
      <c r="E24" s="41">
        <f>D24*Assumptions!$C$27/12</f>
        <v/>
      </c>
      <c r="F24" s="41">
        <f>G24-E24</f>
        <v/>
      </c>
      <c r="G24" s="41">
        <f>IF(A24&lt;=Assumptions!$C$29,E24,-PMT(Assumptions!$C$27/12,Assumptions!$C$28-Assumptions!$C$29,Assumptions!$C$26))</f>
        <v/>
      </c>
      <c r="H24" s="41">
        <f>D24-F24</f>
        <v/>
      </c>
      <c r="I24" s="8">
        <f>F24*Assumptions!$C$30</f>
        <v/>
      </c>
      <c r="J24" s="8">
        <f>E24*Assumptions!$C$30</f>
        <v/>
      </c>
      <c r="K24" s="8">
        <f>G24*Assumptions!$C$30</f>
        <v/>
      </c>
      <c r="L24" s="8">
        <f>H24*Assumptions!$C$30</f>
        <v/>
      </c>
    </row>
    <row r="25">
      <c r="A25" s="2" t="n">
        <v>20</v>
      </c>
      <c r="B25" s="2">
        <f>IF(A25&lt;=Assumptions!$C$29,"Interest only","Repaying")</f>
        <v/>
      </c>
      <c r="C25" s="2" t="n"/>
      <c r="D25" s="41">
        <f>H24</f>
        <v/>
      </c>
      <c r="E25" s="41">
        <f>D25*Assumptions!$C$27/12</f>
        <v/>
      </c>
      <c r="F25" s="41">
        <f>G25-E25</f>
        <v/>
      </c>
      <c r="G25" s="41">
        <f>IF(A25&lt;=Assumptions!$C$29,E25,-PMT(Assumptions!$C$27/12,Assumptions!$C$28-Assumptions!$C$29,Assumptions!$C$26))</f>
        <v/>
      </c>
      <c r="H25" s="41">
        <f>D25-F25</f>
        <v/>
      </c>
      <c r="I25" s="8">
        <f>F25*Assumptions!$C$30</f>
        <v/>
      </c>
      <c r="J25" s="8">
        <f>E25*Assumptions!$C$30</f>
        <v/>
      </c>
      <c r="K25" s="8">
        <f>G25*Assumptions!$C$30</f>
        <v/>
      </c>
      <c r="L25" s="8">
        <f>H25*Assumptions!$C$30</f>
        <v/>
      </c>
    </row>
    <row r="26">
      <c r="A26" s="2" t="n">
        <v>21</v>
      </c>
      <c r="B26" s="2">
        <f>IF(A26&lt;=Assumptions!$C$29,"Interest only","Repaying")</f>
        <v/>
      </c>
      <c r="C26" s="2" t="n"/>
      <c r="D26" s="41">
        <f>H25</f>
        <v/>
      </c>
      <c r="E26" s="41">
        <f>D26*Assumptions!$C$27/12</f>
        <v/>
      </c>
      <c r="F26" s="41">
        <f>G26-E26</f>
        <v/>
      </c>
      <c r="G26" s="41">
        <f>IF(A26&lt;=Assumptions!$C$29,E26,-PMT(Assumptions!$C$27/12,Assumptions!$C$28-Assumptions!$C$29,Assumptions!$C$26))</f>
        <v/>
      </c>
      <c r="H26" s="41">
        <f>D26-F26</f>
        <v/>
      </c>
      <c r="I26" s="8">
        <f>F26*Assumptions!$C$30</f>
        <v/>
      </c>
      <c r="J26" s="8">
        <f>E26*Assumptions!$C$30</f>
        <v/>
      </c>
      <c r="K26" s="8">
        <f>G26*Assumptions!$C$30</f>
        <v/>
      </c>
      <c r="L26" s="8">
        <f>H26*Assumptions!$C$30</f>
        <v/>
      </c>
    </row>
    <row r="27">
      <c r="A27" s="2" t="n">
        <v>22</v>
      </c>
      <c r="B27" s="2">
        <f>IF(A27&lt;=Assumptions!$C$29,"Interest only","Repaying")</f>
        <v/>
      </c>
      <c r="C27" s="2" t="n"/>
      <c r="D27" s="41">
        <f>H26</f>
        <v/>
      </c>
      <c r="E27" s="41">
        <f>D27*Assumptions!$C$27/12</f>
        <v/>
      </c>
      <c r="F27" s="41">
        <f>G27-E27</f>
        <v/>
      </c>
      <c r="G27" s="41">
        <f>IF(A27&lt;=Assumptions!$C$29,E27,-PMT(Assumptions!$C$27/12,Assumptions!$C$28-Assumptions!$C$29,Assumptions!$C$26))</f>
        <v/>
      </c>
      <c r="H27" s="41">
        <f>D27-F27</f>
        <v/>
      </c>
      <c r="I27" s="8">
        <f>F27*Assumptions!$C$30</f>
        <v/>
      </c>
      <c r="J27" s="8">
        <f>E27*Assumptions!$C$30</f>
        <v/>
      </c>
      <c r="K27" s="8">
        <f>G27*Assumptions!$C$30</f>
        <v/>
      </c>
      <c r="L27" s="8">
        <f>H27*Assumptions!$C$30</f>
        <v/>
      </c>
    </row>
    <row r="28">
      <c r="A28" s="2" t="n">
        <v>23</v>
      </c>
      <c r="B28" s="2">
        <f>IF(A28&lt;=Assumptions!$C$29,"Interest only","Repaying")</f>
        <v/>
      </c>
      <c r="C28" s="2" t="n"/>
      <c r="D28" s="41">
        <f>H27</f>
        <v/>
      </c>
      <c r="E28" s="41">
        <f>D28*Assumptions!$C$27/12</f>
        <v/>
      </c>
      <c r="F28" s="41">
        <f>G28-E28</f>
        <v/>
      </c>
      <c r="G28" s="41">
        <f>IF(A28&lt;=Assumptions!$C$29,E28,-PMT(Assumptions!$C$27/12,Assumptions!$C$28-Assumptions!$C$29,Assumptions!$C$26))</f>
        <v/>
      </c>
      <c r="H28" s="41">
        <f>D28-F28</f>
        <v/>
      </c>
      <c r="I28" s="8">
        <f>F28*Assumptions!$C$30</f>
        <v/>
      </c>
      <c r="J28" s="8">
        <f>E28*Assumptions!$C$30</f>
        <v/>
      </c>
      <c r="K28" s="8">
        <f>G28*Assumptions!$C$30</f>
        <v/>
      </c>
      <c r="L28" s="8">
        <f>H28*Assumptions!$C$30</f>
        <v/>
      </c>
    </row>
    <row r="29">
      <c r="A29" s="2" t="n">
        <v>24</v>
      </c>
      <c r="B29" s="2">
        <f>IF(A29&lt;=Assumptions!$C$29,"Interest only","Repaying")</f>
        <v/>
      </c>
      <c r="C29" s="2" t="n"/>
      <c r="D29" s="41">
        <f>H28</f>
        <v/>
      </c>
      <c r="E29" s="41">
        <f>D29*Assumptions!$C$27/12</f>
        <v/>
      </c>
      <c r="F29" s="41">
        <f>G29-E29</f>
        <v/>
      </c>
      <c r="G29" s="41">
        <f>IF(A29&lt;=Assumptions!$C$29,E29,-PMT(Assumptions!$C$27/12,Assumptions!$C$28-Assumptions!$C$29,Assumptions!$C$26))</f>
        <v/>
      </c>
      <c r="H29" s="41">
        <f>D29-F29</f>
        <v/>
      </c>
      <c r="I29" s="8">
        <f>F29*Assumptions!$C$30</f>
        <v/>
      </c>
      <c r="J29" s="8">
        <f>E29*Assumptions!$C$30</f>
        <v/>
      </c>
      <c r="K29" s="8">
        <f>G29*Assumptions!$C$30</f>
        <v/>
      </c>
      <c r="L29" s="8">
        <f>H29*Assumptions!$C$30</f>
        <v/>
      </c>
    </row>
    <row r="30">
      <c r="A30" s="45" t="n"/>
      <c r="B30" s="45" t="inlineStr">
        <is>
          <t>Total, 24 months</t>
        </is>
      </c>
      <c r="C30" s="45" t="n"/>
      <c r="D30" s="45" t="n"/>
      <c r="E30" s="46">
        <f>SUM(E6:E29)</f>
        <v/>
      </c>
      <c r="F30" s="46">
        <f>SUM(F6:F29)</f>
        <v/>
      </c>
      <c r="G30" s="46">
        <f>SUM(G6:G29)</f>
        <v/>
      </c>
      <c r="H30" s="45" t="n"/>
      <c r="I30" s="29">
        <f>SUM(I6:I29)</f>
        <v/>
      </c>
      <c r="J30" s="29">
        <f>SUM(J6:J29)</f>
        <v/>
      </c>
      <c r="K30" s="29">
        <f>SUM(K6:K29)</f>
        <v/>
      </c>
      <c r="L30" s="45" t="n"/>
    </row>
    <row r="31">
      <c r="A31" s="45" t="n"/>
      <c r="B31" s="45" t="inlineStr">
        <is>
          <t>Total, Months 1–12</t>
        </is>
      </c>
      <c r="C31" s="45" t="n"/>
      <c r="D31" s="45" t="n"/>
      <c r="E31" s="46">
        <f>SUM(E6:E17)</f>
        <v/>
      </c>
      <c r="F31" s="46">
        <f>SUM(F6:F17)</f>
        <v/>
      </c>
      <c r="G31" s="46">
        <f>SUM(G6:G17)</f>
        <v/>
      </c>
      <c r="H31" s="45" t="n"/>
      <c r="I31" s="29">
        <f>SUM(I6:I17)</f>
        <v/>
      </c>
      <c r="J31" s="29">
        <f>SUM(J6:J17)</f>
        <v/>
      </c>
      <c r="K31" s="29">
        <f>SUM(K6:K17)</f>
        <v/>
      </c>
      <c r="L31" s="45" t="n"/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1F2A44"/>
    <outlinePr summaryBelow="1" summaryRight="1"/>
    <pageSetUpPr fitToPage="1"/>
  </sheetPr>
  <dimension ref="A1:O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4" customWidth="1" min="15" max="15"/>
  </cols>
  <sheetData>
    <row r="1">
      <c r="A1" s="1" t="inlineStr">
        <is>
          <t>Cash position, burn &amp; runway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Burn = cash going out minus cash coming in. Runway = months until cash runs out at the current burn.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16" t="inlineStr">
        <is>
          <t>USD</t>
        </is>
      </c>
      <c r="B4" s="17" t="inlineStr">
        <is>
          <t>Start</t>
        </is>
      </c>
      <c r="C4" s="18" t="n">
        <v>1</v>
      </c>
      <c r="D4" s="18" t="n">
        <v>2</v>
      </c>
      <c r="E4" s="18" t="n">
        <v>3</v>
      </c>
      <c r="F4" s="18" t="n">
        <v>4</v>
      </c>
      <c r="G4" s="18" t="n">
        <v>5</v>
      </c>
      <c r="H4" s="18" t="n">
        <v>6</v>
      </c>
      <c r="I4" s="18" t="n">
        <v>7</v>
      </c>
      <c r="J4" s="18" t="n">
        <v>8</v>
      </c>
      <c r="K4" s="18" t="n">
        <v>9</v>
      </c>
      <c r="L4" s="18" t="n">
        <v>10</v>
      </c>
      <c r="M4" s="18" t="n">
        <v>11</v>
      </c>
      <c r="N4" s="18" t="n">
        <v>12</v>
      </c>
      <c r="O4" s="17" t="inlineStr">
        <is>
          <t>12-month total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19" t="inlineStr">
        <is>
          <t>A. WITHOUT loan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</row>
    <row r="7">
      <c r="A7" s="20" t="inlineStr">
        <is>
          <t>Net cash flow in month</t>
        </is>
      </c>
      <c r="B7" s="2" t="n"/>
      <c r="C7" s="28">
        <f>'Cash Flow'!C15</f>
        <v/>
      </c>
      <c r="D7" s="28">
        <f>'Cash Flow'!D15</f>
        <v/>
      </c>
      <c r="E7" s="28">
        <f>'Cash Flow'!E15</f>
        <v/>
      </c>
      <c r="F7" s="28">
        <f>'Cash Flow'!F15</f>
        <v/>
      </c>
      <c r="G7" s="28">
        <f>'Cash Flow'!G15</f>
        <v/>
      </c>
      <c r="H7" s="28">
        <f>'Cash Flow'!H15</f>
        <v/>
      </c>
      <c r="I7" s="28">
        <f>'Cash Flow'!I15</f>
        <v/>
      </c>
      <c r="J7" s="28">
        <f>'Cash Flow'!J15</f>
        <v/>
      </c>
      <c r="K7" s="28">
        <f>'Cash Flow'!K15</f>
        <v/>
      </c>
      <c r="L7" s="28">
        <f>'Cash Flow'!L15</f>
        <v/>
      </c>
      <c r="M7" s="28">
        <f>'Cash Flow'!M15</f>
        <v/>
      </c>
      <c r="N7" s="28">
        <f>'Cash Flow'!N15</f>
        <v/>
      </c>
      <c r="O7" s="29">
        <f>SUM(C7:N7)</f>
        <v/>
      </c>
    </row>
    <row r="8">
      <c r="A8" s="20" t="inlineStr">
        <is>
          <t>Monthly burn (positive = losing cash)</t>
        </is>
      </c>
      <c r="B8" s="2" t="n"/>
      <c r="C8" s="28">
        <f>MAX(0,-C7)</f>
        <v/>
      </c>
      <c r="D8" s="28">
        <f>MAX(0,-D7)</f>
        <v/>
      </c>
      <c r="E8" s="28">
        <f>MAX(0,-E7)</f>
        <v/>
      </c>
      <c r="F8" s="28">
        <f>MAX(0,-F7)</f>
        <v/>
      </c>
      <c r="G8" s="28">
        <f>MAX(0,-G7)</f>
        <v/>
      </c>
      <c r="H8" s="28">
        <f>MAX(0,-H7)</f>
        <v/>
      </c>
      <c r="I8" s="28">
        <f>MAX(0,-I7)</f>
        <v/>
      </c>
      <c r="J8" s="28">
        <f>MAX(0,-J7)</f>
        <v/>
      </c>
      <c r="K8" s="28">
        <f>MAX(0,-K7)</f>
        <v/>
      </c>
      <c r="L8" s="28">
        <f>MAX(0,-L7)</f>
        <v/>
      </c>
      <c r="M8" s="28">
        <f>MAX(0,-M7)</f>
        <v/>
      </c>
      <c r="N8" s="28">
        <f>MAX(0,-N7)</f>
        <v/>
      </c>
      <c r="O8" s="29">
        <f>SUM(C8:N8)</f>
        <v/>
      </c>
    </row>
    <row r="9">
      <c r="A9" s="32" t="inlineStr">
        <is>
          <t>Cash position (end of month)</t>
        </is>
      </c>
      <c r="B9" s="8">
        <f>Assumptions!$C$23</f>
        <v/>
      </c>
      <c r="C9" s="33">
        <f>'Cash Flow'!C17</f>
        <v/>
      </c>
      <c r="D9" s="33">
        <f>'Cash Flow'!D17</f>
        <v/>
      </c>
      <c r="E9" s="33">
        <f>'Cash Flow'!E17</f>
        <v/>
      </c>
      <c r="F9" s="33">
        <f>'Cash Flow'!F17</f>
        <v/>
      </c>
      <c r="G9" s="33">
        <f>'Cash Flow'!G17</f>
        <v/>
      </c>
      <c r="H9" s="33">
        <f>'Cash Flow'!H17</f>
        <v/>
      </c>
      <c r="I9" s="33">
        <f>'Cash Flow'!I17</f>
        <v/>
      </c>
      <c r="J9" s="33">
        <f>'Cash Flow'!J17</f>
        <v/>
      </c>
      <c r="K9" s="33">
        <f>'Cash Flow'!K17</f>
        <v/>
      </c>
      <c r="L9" s="33">
        <f>'Cash Flow'!L17</f>
        <v/>
      </c>
      <c r="M9" s="33">
        <f>'Cash Flow'!M17</f>
        <v/>
      </c>
      <c r="N9" s="33">
        <f>'Cash Flow'!N17</f>
        <v/>
      </c>
      <c r="O9" s="29">
        <f>N9</f>
        <v/>
      </c>
    </row>
    <row r="10">
      <c r="A10" s="20" t="inlineStr">
        <is>
          <t>Cumulative cash generated since start</t>
        </is>
      </c>
      <c r="B10" s="2" t="n"/>
      <c r="C10" s="28">
        <f>C9-Assumptions!$C$23</f>
        <v/>
      </c>
      <c r="D10" s="28">
        <f>D9-Assumptions!$C$23</f>
        <v/>
      </c>
      <c r="E10" s="28">
        <f>E9-Assumptions!$C$23</f>
        <v/>
      </c>
      <c r="F10" s="28">
        <f>F9-Assumptions!$C$23</f>
        <v/>
      </c>
      <c r="G10" s="28">
        <f>G9-Assumptions!$C$23</f>
        <v/>
      </c>
      <c r="H10" s="28">
        <f>H9-Assumptions!$C$23</f>
        <v/>
      </c>
      <c r="I10" s="28">
        <f>I9-Assumptions!$C$23</f>
        <v/>
      </c>
      <c r="J10" s="28">
        <f>J9-Assumptions!$C$23</f>
        <v/>
      </c>
      <c r="K10" s="28">
        <f>K9-Assumptions!$C$23</f>
        <v/>
      </c>
      <c r="L10" s="28">
        <f>L9-Assumptions!$C$23</f>
        <v/>
      </c>
      <c r="M10" s="28">
        <f>M9-Assumptions!$C$23</f>
        <v/>
      </c>
      <c r="N10" s="28">
        <f>N9-Assumptions!$C$23</f>
        <v/>
      </c>
      <c r="O10" s="29">
        <f>N10</f>
        <v/>
      </c>
    </row>
    <row r="11">
      <c r="A11" s="20" t="inlineStr">
        <is>
          <t>Runway (months of cash at this month's burn)</t>
        </is>
      </c>
      <c r="B11" s="2" t="n"/>
      <c r="C11" s="47">
        <f>IF(C8&gt;0,C9/C8,"No burn")</f>
        <v/>
      </c>
      <c r="D11" s="47">
        <f>IF(D8&gt;0,D9/D8,"No burn")</f>
        <v/>
      </c>
      <c r="E11" s="47">
        <f>IF(E8&gt;0,E9/E8,"No burn")</f>
        <v/>
      </c>
      <c r="F11" s="47">
        <f>IF(F8&gt;0,F9/F8,"No burn")</f>
        <v/>
      </c>
      <c r="G11" s="47">
        <f>IF(G8&gt;0,G9/G8,"No burn")</f>
        <v/>
      </c>
      <c r="H11" s="47">
        <f>IF(H8&gt;0,H9/H8,"No burn")</f>
        <v/>
      </c>
      <c r="I11" s="47">
        <f>IF(I8&gt;0,I9/I8,"No burn")</f>
        <v/>
      </c>
      <c r="J11" s="47">
        <f>IF(J8&gt;0,J9/J8,"No burn")</f>
        <v/>
      </c>
      <c r="K11" s="47">
        <f>IF(K8&gt;0,K9/K8,"No burn")</f>
        <v/>
      </c>
      <c r="L11" s="47">
        <f>IF(L8&gt;0,L9/L8,"No burn")</f>
        <v/>
      </c>
      <c r="M11" s="47">
        <f>IF(M8&gt;0,M9/M8,"No burn")</f>
        <v/>
      </c>
      <c r="N11" s="47">
        <f>IF(N8&gt;0,N9/N8,"No burn")</f>
        <v/>
      </c>
      <c r="O11" s="48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19" t="inlineStr">
        <is>
          <t>B. WITH €500k loan</t>
        </is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</row>
    <row r="15">
      <c r="A15" s="20" t="inlineStr">
        <is>
          <t>Net cash flow in month</t>
        </is>
      </c>
      <c r="B15" s="2" t="n"/>
      <c r="C15" s="28">
        <f>'Cash Flow'!C29</f>
        <v/>
      </c>
      <c r="D15" s="28">
        <f>'Cash Flow'!D29</f>
        <v/>
      </c>
      <c r="E15" s="28">
        <f>'Cash Flow'!E29</f>
        <v/>
      </c>
      <c r="F15" s="28">
        <f>'Cash Flow'!F29</f>
        <v/>
      </c>
      <c r="G15" s="28">
        <f>'Cash Flow'!G29</f>
        <v/>
      </c>
      <c r="H15" s="28">
        <f>'Cash Flow'!H29</f>
        <v/>
      </c>
      <c r="I15" s="28">
        <f>'Cash Flow'!I29</f>
        <v/>
      </c>
      <c r="J15" s="28">
        <f>'Cash Flow'!J29</f>
        <v/>
      </c>
      <c r="K15" s="28">
        <f>'Cash Flow'!K29</f>
        <v/>
      </c>
      <c r="L15" s="28">
        <f>'Cash Flow'!L29</f>
        <v/>
      </c>
      <c r="M15" s="28">
        <f>'Cash Flow'!M29</f>
        <v/>
      </c>
      <c r="N15" s="28">
        <f>'Cash Flow'!N29</f>
        <v/>
      </c>
      <c r="O15" s="29">
        <f>SUM(C15:N15)</f>
        <v/>
      </c>
    </row>
    <row r="16">
      <c r="A16" s="20" t="inlineStr">
        <is>
          <t>Monthly burn (positive = losing cash)</t>
        </is>
      </c>
      <c r="B16" s="2" t="n"/>
      <c r="C16" s="28">
        <f>MAX(0,-C15)</f>
        <v/>
      </c>
      <c r="D16" s="28">
        <f>MAX(0,-D15)</f>
        <v/>
      </c>
      <c r="E16" s="28">
        <f>MAX(0,-E15)</f>
        <v/>
      </c>
      <c r="F16" s="28">
        <f>MAX(0,-F15)</f>
        <v/>
      </c>
      <c r="G16" s="28">
        <f>MAX(0,-G15)</f>
        <v/>
      </c>
      <c r="H16" s="28">
        <f>MAX(0,-H15)</f>
        <v/>
      </c>
      <c r="I16" s="28">
        <f>MAX(0,-I15)</f>
        <v/>
      </c>
      <c r="J16" s="28">
        <f>MAX(0,-J15)</f>
        <v/>
      </c>
      <c r="K16" s="28">
        <f>MAX(0,-K15)</f>
        <v/>
      </c>
      <c r="L16" s="28">
        <f>MAX(0,-L15)</f>
        <v/>
      </c>
      <c r="M16" s="28">
        <f>MAX(0,-M15)</f>
        <v/>
      </c>
      <c r="N16" s="28">
        <f>MAX(0,-N15)</f>
        <v/>
      </c>
      <c r="O16" s="29">
        <f>SUM(C16:N16)</f>
        <v/>
      </c>
    </row>
    <row r="17">
      <c r="A17" s="32" t="inlineStr">
        <is>
          <t>Cash position (end of month)</t>
        </is>
      </c>
      <c r="B17" s="8">
        <f>Assumptions!$C$23</f>
        <v/>
      </c>
      <c r="C17" s="33">
        <f>'Cash Flow'!C31</f>
        <v/>
      </c>
      <c r="D17" s="33">
        <f>'Cash Flow'!D31</f>
        <v/>
      </c>
      <c r="E17" s="33">
        <f>'Cash Flow'!E31</f>
        <v/>
      </c>
      <c r="F17" s="33">
        <f>'Cash Flow'!F31</f>
        <v/>
      </c>
      <c r="G17" s="33">
        <f>'Cash Flow'!G31</f>
        <v/>
      </c>
      <c r="H17" s="33">
        <f>'Cash Flow'!H31</f>
        <v/>
      </c>
      <c r="I17" s="33">
        <f>'Cash Flow'!I31</f>
        <v/>
      </c>
      <c r="J17" s="33">
        <f>'Cash Flow'!J31</f>
        <v/>
      </c>
      <c r="K17" s="33">
        <f>'Cash Flow'!K31</f>
        <v/>
      </c>
      <c r="L17" s="33">
        <f>'Cash Flow'!L31</f>
        <v/>
      </c>
      <c r="M17" s="33">
        <f>'Cash Flow'!M31</f>
        <v/>
      </c>
      <c r="N17" s="33">
        <f>'Cash Flow'!N31</f>
        <v/>
      </c>
      <c r="O17" s="29">
        <f>N17</f>
        <v/>
      </c>
    </row>
    <row r="18">
      <c r="A18" s="20" t="inlineStr">
        <is>
          <t>Cumulative cash generated since start</t>
        </is>
      </c>
      <c r="B18" s="2" t="n"/>
      <c r="C18" s="28">
        <f>C17-Assumptions!$C$23</f>
        <v/>
      </c>
      <c r="D18" s="28">
        <f>D17-Assumptions!$C$23</f>
        <v/>
      </c>
      <c r="E18" s="28">
        <f>E17-Assumptions!$C$23</f>
        <v/>
      </c>
      <c r="F18" s="28">
        <f>F17-Assumptions!$C$23</f>
        <v/>
      </c>
      <c r="G18" s="28">
        <f>G17-Assumptions!$C$23</f>
        <v/>
      </c>
      <c r="H18" s="28">
        <f>H17-Assumptions!$C$23</f>
        <v/>
      </c>
      <c r="I18" s="28">
        <f>I17-Assumptions!$C$23</f>
        <v/>
      </c>
      <c r="J18" s="28">
        <f>J17-Assumptions!$C$23</f>
        <v/>
      </c>
      <c r="K18" s="28">
        <f>K17-Assumptions!$C$23</f>
        <v/>
      </c>
      <c r="L18" s="28">
        <f>L17-Assumptions!$C$23</f>
        <v/>
      </c>
      <c r="M18" s="28">
        <f>M17-Assumptions!$C$23</f>
        <v/>
      </c>
      <c r="N18" s="28">
        <f>N17-Assumptions!$C$23</f>
        <v/>
      </c>
      <c r="O18" s="29">
        <f>N18</f>
        <v/>
      </c>
    </row>
    <row r="19">
      <c r="A19" s="20" t="inlineStr">
        <is>
          <t>Runway (months of cash at this month's burn)</t>
        </is>
      </c>
      <c r="B19" s="2" t="n"/>
      <c r="C19" s="47">
        <f>IF(C16&gt;0,C17/C16,"No burn")</f>
        <v/>
      </c>
      <c r="D19" s="47">
        <f>IF(D16&gt;0,D17/D16,"No burn")</f>
        <v/>
      </c>
      <c r="E19" s="47">
        <f>IF(E16&gt;0,E17/E16,"No burn")</f>
        <v/>
      </c>
      <c r="F19" s="47">
        <f>IF(F16&gt;0,F17/F16,"No burn")</f>
        <v/>
      </c>
      <c r="G19" s="47">
        <f>IF(G16&gt;0,G17/G16,"No burn")</f>
        <v/>
      </c>
      <c r="H19" s="47">
        <f>IF(H16&gt;0,H17/H16,"No burn")</f>
        <v/>
      </c>
      <c r="I19" s="47">
        <f>IF(I16&gt;0,I17/I16,"No burn")</f>
        <v/>
      </c>
      <c r="J19" s="47">
        <f>IF(J16&gt;0,J17/J16,"No burn")</f>
        <v/>
      </c>
      <c r="K19" s="47">
        <f>IF(K16&gt;0,K17/K16,"No burn")</f>
        <v/>
      </c>
      <c r="L19" s="47">
        <f>IF(L16&gt;0,L17/L16,"No burn")</f>
        <v/>
      </c>
      <c r="M19" s="47">
        <f>IF(M16&gt;0,M17/M16,"No burn")</f>
        <v/>
      </c>
      <c r="N19" s="47">
        <f>IF(N16&gt;0,N17/N16,"No burn")</f>
        <v/>
      </c>
      <c r="O19" s="48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4" t="inlineStr">
        <is>
          <t>Comparison</t>
        </is>
      </c>
      <c r="B23" s="4" t="inlineStr"/>
      <c r="C23" s="4" t="inlineStr">
        <is>
          <t>Without loan</t>
        </is>
      </c>
      <c r="D23" s="4" t="inlineStr">
        <is>
          <t>With loan</t>
        </is>
      </c>
      <c r="E23" s="4" t="inlineStr">
        <is>
          <t>Difference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Cash at end of Month 12</t>
        </is>
      </c>
      <c r="B24" s="2" t="n"/>
      <c r="C24" s="33">
        <f>N9</f>
        <v/>
      </c>
      <c r="D24" s="33">
        <f>N17</f>
        <v/>
      </c>
      <c r="E24" s="33">
        <f>D24-C24</f>
        <v/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inlineStr">
        <is>
          <t>Lowest cash position in the 12 months</t>
        </is>
      </c>
      <c r="B25" s="2" t="n"/>
      <c r="C25" s="33">
        <f>MIN($C$9:$N$9)</f>
        <v/>
      </c>
      <c r="D25" s="33">
        <f>MIN($C$17:$N$17)</f>
        <v/>
      </c>
      <c r="E25" s="33">
        <f>D25-C25</f>
        <v/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inlineStr">
        <is>
          <t>Months with cash burn (of 12)</t>
        </is>
      </c>
      <c r="B26" s="2" t="n"/>
      <c r="C26" s="49">
        <f>COUNTIF($C$8:$N$8,"&gt;0")</f>
        <v/>
      </c>
      <c r="D26" s="49">
        <f>COUNTIF($C$16:$N$16,"&gt;0")</f>
        <v/>
      </c>
      <c r="E26" s="49">
        <f>D26-C26</f>
        <v/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Loan still owed at end of Month 12</t>
        </is>
      </c>
      <c r="B27" s="2" t="n"/>
      <c r="C27" s="33">
        <f>0</f>
        <v/>
      </c>
      <c r="D27" s="33">
        <f>Loan!L17</f>
        <v/>
      </c>
      <c r="E27" s="33">
        <f>D27-C27</f>
        <v/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Cash minus loan owed, Month 12</t>
        </is>
      </c>
      <c r="B28" s="2" t="n"/>
      <c r="C28" s="33">
        <f>C24-C27</f>
        <v/>
      </c>
      <c r="D28" s="33">
        <f>D24-D27</f>
        <v/>
      </c>
      <c r="E28" s="33">
        <f>D28-C28</f>
        <v/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inlineStr">
        <is>
          <t>Interest paid in the 12 months</t>
        </is>
      </c>
      <c r="B29" s="2" t="n"/>
      <c r="C29" s="33">
        <f>0</f>
        <v/>
      </c>
      <c r="D29" s="33">
        <f>Loan!J31</f>
        <v/>
      </c>
      <c r="E29" s="33">
        <f>D29-C29</f>
        <v/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50" t="inlineStr">
        <is>
          <t>Runway</t>
        </is>
      </c>
      <c r="B30" s="51" t="n"/>
      <c r="C30" s="51">
        <f>IF(C26=0,"No burn",MIN($C$11:$N$11))</f>
        <v/>
      </c>
      <c r="D30" s="51">
        <f>IF(D26=0,"No burn",MIN($C$19:$N$19))</f>
        <v/>
      </c>
      <c r="E30" s="51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</sheetData>
  <conditionalFormatting sqref="C9:N9">
    <cfRule type="cellIs" priority="1" operator="lessThan" dxfId="0">
      <formula>0</formula>
    </cfRule>
  </conditionalFormatting>
  <conditionalFormatting sqref="C17:N17">
    <cfRule type="cellIs" priority="2" operator="lessThan" dxfId="0">
      <formula>0</formula>
    </cfRule>
  </conditionalFormatting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2026-10-11T12:09:27Z</dcterms:created>
  <dcterms:modified xmlns:dcterms="http://purl.org/dc/terms/" xmlns:xsi="http://www.w3.org/2001/XMLSchema-instance" xsi:type="dcterms:W3CDTF">2026-10-11T12:09:27Z</dcterms:modified>
</cp:coreProperties>
</file>