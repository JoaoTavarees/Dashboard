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eadcou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Runway" sheetId="6" state="visible" r:id="rId6"/>
    <sheet xmlns:r="http://schemas.openxmlformats.org/officeDocument/2006/relationships" name="Loan" sheetId="7" state="visible" r:id="rId7"/>
    <sheet xmlns:r="http://schemas.openxmlformats.org/officeDocument/2006/relationships" name="Scenario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%;(0.0%);&quot;–&quot;"/>
    <numFmt numFmtId="166" formatCode="0.0%"/>
    <numFmt numFmtId="167" formatCode="#,##0;(#,##0);&quot;–&quot;"/>
    <numFmt numFmtId="168" formatCode="€#,##0;(€#,##0);&quot;–&quot;"/>
    <numFmt numFmtId="169" formatCode="0;(0);&quot;–&quot;"/>
    <numFmt numFmtId="170" formatCode="0.0;(0.0);&quot;–&quot;"/>
  </numFmts>
  <fonts count="11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color rgb="006B7280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1F2A44"/>
      <sz val="10"/>
    </font>
    <font>
      <name val="Arial"/>
      <b val="1"/>
      <color rgb="000F9D8A"/>
      <sz val="10"/>
    </font>
    <font>
      <name val="Arial"/>
      <color rgb="00008000"/>
      <sz val="10"/>
    </font>
    <font>
      <name val="Arial"/>
      <color theme="1"/>
      <sz val="11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7D6"/>
      </patternFill>
    </fill>
    <fill>
      <patternFill patternType="solid">
        <fgColor rgb="00F3F4F6"/>
      </patternFill>
    </fill>
    <fill>
      <patternFill patternType="solid">
        <fgColor rgb="00E5E7EB"/>
      </patternFill>
    </fill>
    <fill>
      <patternFill patternType="solid">
        <fgColor rgb="00E6F6F3"/>
      </patternFill>
    </fill>
  </fills>
  <borders count="4">
    <border>
      <left/>
      <right/>
      <top/>
      <bottom/>
      <diagonal/>
    </border>
    <border>
      <top style="thin">
        <color rgb="009CA3AF"/>
      </top>
    </border>
    <border>
      <top style="thin">
        <color rgb="009CA3AF"/>
      </top>
      <bottom style="double">
        <color rgb="009CA3AF"/>
      </bottom>
    </border>
    <border>
      <bottom style="medium">
        <color rgb="000F9D8A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10" fillId="4" borderId="0" pivotButton="0" quotePrefix="0" xfId="0"/>
    <xf numFmtId="167" fontId="9" fillId="4" borderId="0" pivotButton="0" quotePrefix="0" xfId="0"/>
    <xf numFmtId="165" fontId="9" fillId="0" borderId="0" pivotButton="0" quotePrefix="0" xfId="0"/>
    <xf numFmtId="167" fontId="9" fillId="0" borderId="0" pivotButton="0" quotePrefix="0" xfId="0"/>
    <xf numFmtId="165" fontId="9" fillId="4" borderId="0" pivotButton="0" quotePrefix="0" xfId="0"/>
    <xf numFmtId="169" fontId="9" fillId="4" borderId="0" pivotButton="0" quotePrefix="0" xfId="0"/>
    <xf numFmtId="170" fontId="9" fillId="4" borderId="0" pivotButton="0" quotePrefix="0" xfId="0"/>
    <xf numFmtId="170" fontId="9" fillId="0" borderId="0" pivotButton="0" quotePrefix="0" xfId="0"/>
    <xf numFmtId="17" fontId="5" fillId="3" borderId="0" pivotButton="0" quotePrefix="0" xfId="0"/>
    <xf numFmtId="1" fontId="5" fillId="3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5" fillId="3" borderId="0" pivotButton="0" quotePrefix="0" xfId="0"/>
    <xf numFmtId="1" fontId="6" fillId="0" borderId="0" pivotButton="0" quotePrefix="0" xfId="0"/>
    <xf numFmtId="167" fontId="6" fillId="0" borderId="0" pivotButton="0" quotePrefix="0" xfId="0"/>
    <xf numFmtId="167" fontId="5" fillId="3" borderId="0" pivotButton="0" quotePrefix="0" xfId="0"/>
    <xf numFmtId="165" fontId="5" fillId="3" borderId="0" pivotButton="0" quotePrefix="0" xfId="0"/>
    <xf numFmtId="168" fontId="5" fillId="3" borderId="0" pivotButton="0" quotePrefix="0" xfId="0"/>
    <xf numFmtId="2" fontId="5" fillId="3" borderId="0" pivotButton="0" quotePrefix="0" xfId="0"/>
    <xf numFmtId="0" fontId="5" fillId="3" borderId="0" pivotButton="0" quotePrefix="0" xfId="0"/>
    <xf numFmtId="167" fontId="10" fillId="0" borderId="0" pivotButton="0" quotePrefix="0" xfId="0"/>
    <xf numFmtId="0" fontId="6" fillId="4" borderId="1" pivotButton="0" quotePrefix="0" xfId="0"/>
    <xf numFmtId="167" fontId="6" fillId="4" borderId="1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7" fontId="3" fillId="2" borderId="0" applyAlignment="1" pivotButton="0" quotePrefix="0" xfId="0">
      <alignment horizontal="center"/>
    </xf>
    <xf numFmtId="169" fontId="4" fillId="0" borderId="0" pivotButton="0" quotePrefix="0" xfId="0"/>
    <xf numFmtId="169" fontId="6" fillId="4" borderId="0" pivotButton="0" quotePrefix="0" xfId="0"/>
    <xf numFmtId="0" fontId="6" fillId="0" borderId="1" pivotButton="0" quotePrefix="0" xfId="0"/>
    <xf numFmtId="169" fontId="6" fillId="0" borderId="1" pivotButton="0" quotePrefix="0" xfId="0"/>
    <xf numFmtId="169" fontId="6" fillId="4" borderId="1" pivotButton="0" quotePrefix="0" xfId="0"/>
    <xf numFmtId="167" fontId="4" fillId="0" borderId="0" pivotButton="0" quotePrefix="0" xfId="0"/>
    <xf numFmtId="167" fontId="6" fillId="4" borderId="0" pivotButton="0" quotePrefix="0" xfId="0"/>
    <xf numFmtId="167" fontId="6" fillId="0" borderId="1" pivotButton="0" quotePrefix="0" xfId="0"/>
    <xf numFmtId="0" fontId="8" fillId="0" borderId="0" pivotButton="0" quotePrefix="0" xfId="0"/>
    <xf numFmtId="0" fontId="7" fillId="5" borderId="0" pivotButton="0" quotePrefix="0" xfId="0"/>
    <xf numFmtId="165" fontId="4" fillId="0" borderId="0" pivotButton="0" quotePrefix="0" xfId="0"/>
    <xf numFmtId="165" fontId="6" fillId="4" borderId="0" pivotButton="0" quotePrefix="0" xfId="0"/>
    <xf numFmtId="0" fontId="10" fillId="0" borderId="1" pivotButton="0" quotePrefix="0" xfId="0"/>
    <xf numFmtId="0" fontId="6" fillId="0" borderId="2" pivotButton="0" quotePrefix="0" xfId="0"/>
    <xf numFmtId="0" fontId="10" fillId="0" borderId="2" pivotButton="0" quotePrefix="0" xfId="0"/>
    <xf numFmtId="167" fontId="6" fillId="0" borderId="2" pivotButton="0" quotePrefix="0" xfId="0"/>
    <xf numFmtId="167" fontId="6" fillId="4" borderId="2" pivotButton="0" quotePrefix="0" xfId="0"/>
    <xf numFmtId="170" fontId="10" fillId="0" borderId="0" pivotButton="0" quotePrefix="0" xfId="0"/>
    <xf numFmtId="170" fontId="4" fillId="0" borderId="0" pivotButton="0" quotePrefix="0" xfId="0"/>
    <xf numFmtId="170" fontId="6" fillId="4" borderId="0" pivotButton="0" quotePrefix="0" xfId="0"/>
    <xf numFmtId="167" fontId="10" fillId="0" borderId="2" pivotButton="0" quotePrefix="0" xfId="0"/>
    <xf numFmtId="170" fontId="2" fillId="0" borderId="0" pivotButton="0" quotePrefix="0" xfId="0"/>
    <xf numFmtId="167" fontId="6" fillId="6" borderId="0" pivotButton="0" quotePrefix="0" xfId="0"/>
    <xf numFmtId="1" fontId="6" fillId="6" borderId="0" pivotButton="0" quotePrefix="0" xfId="0"/>
    <xf numFmtId="170" fontId="6" fillId="6" borderId="0" pivotButton="0" quotePrefix="0" xfId="0"/>
    <xf numFmtId="0" fontId="3" fillId="2" borderId="0" applyAlignment="1" pivotButton="0" quotePrefix="0" xfId="0">
      <alignment horizontal="center" wrapText="1"/>
    </xf>
    <xf numFmtId="17" fontId="10" fillId="0" borderId="0" pivotButton="0" quotePrefix="0" xfId="0"/>
    <xf numFmtId="168" fontId="10" fillId="0" borderId="0" pivotButton="0" quotePrefix="0" xfId="0"/>
    <xf numFmtId="0" fontId="10" fillId="0" borderId="3" pivotButton="0" quotePrefix="0" xfId="0"/>
    <xf numFmtId="17" fontId="10" fillId="0" borderId="3" pivotButton="0" quotePrefix="0" xfId="0"/>
    <xf numFmtId="168" fontId="10" fillId="0" borderId="3" pivotButton="0" quotePrefix="0" xfId="0"/>
    <xf numFmtId="167" fontId="10" fillId="0" borderId="3" pivotButton="0" quotePrefix="0" xfId="0"/>
    <xf numFmtId="0" fontId="6" fillId="4" borderId="0" pivotButton="0" quotePrefix="0" xfId="0"/>
    <xf numFmtId="168" fontId="6" fillId="4" borderId="0" pivotButton="0" quotePrefix="0" xfId="0"/>
    <xf numFmtId="168" fontId="6" fillId="0" borderId="0" pivotButton="0" quotePrefix="0" xfId="0"/>
    <xf numFmtId="165" fontId="10" fillId="4" borderId="0" applyAlignment="1" pivotButton="0" quotePrefix="0" xfId="0">
      <alignment horizontal="right"/>
    </xf>
    <xf numFmtId="165" fontId="10" fillId="0" borderId="0" applyAlignment="1" pivotButton="0" quotePrefix="0" xfId="0">
      <alignment horizontal="right"/>
    </xf>
    <xf numFmtId="1" fontId="10" fillId="4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4" borderId="0" applyAlignment="1" pivotButton="0" quotePrefix="0" xfId="0">
      <alignment horizontal="right"/>
    </xf>
    <xf numFmtId="170" fontId="10" fillId="0" borderId="0" applyAlignment="1" pivotButton="0" quotePrefix="0" xfId="0">
      <alignment horizontal="right"/>
    </xf>
    <xf numFmtId="170" fontId="10" fillId="4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FFC7CE"/>
        </patternFill>
      </fill>
    </dxf>
    <dxf>
      <font>
        <b val="1"/>
        <color rgb="00C0000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and EBITDA (USD / month)</a:t>
            </a:r>
          </a:p>
        </rich>
      </tx>
    </title>
    <plotArea>
      <barChart>
        <barDir val="col"/>
        <grouping val="clustered"/>
        <ser>
          <idx val="0"/>
          <order val="0"/>
          <tx>
            <v>Revenue</v>
          </tx>
          <spPr>
            <a:ln xmlns:a="http://schemas.openxmlformats.org/drawingml/2006/main">
              <a:prstDash val="solid"/>
            </a:ln>
          </spPr>
          <cat>
            <numRef>
              <f>'P&amp;L'!$C$5:$N$5</f>
            </numRef>
          </cat>
          <val>
            <numRef>
              <f>'P&amp;L'!$C$8:$N$8</f>
            </numRef>
          </val>
        </ser>
        <ser>
          <idx val="1"/>
          <order val="1"/>
          <tx>
            <v>EBITDA</v>
          </tx>
          <spPr>
            <a:ln xmlns:a="http://schemas.openxmlformats.org/drawingml/2006/main">
              <a:prstDash val="solid"/>
            </a:ln>
          </spPr>
          <cat>
            <numRef>
              <f>'P&amp;L'!$C$5:$N$5</f>
            </numRef>
          </cat>
          <val>
            <numRef>
              <f>'P&amp;L'!$C$24:$N$24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Month-end cash: with vs. without loan (USD)</a:t>
            </a:r>
          </a:p>
        </rich>
      </tx>
    </title>
    <plotArea>
      <lineChart>
        <grouping val="standard"/>
        <ser>
          <idx val="0"/>
          <order val="0"/>
          <tx>
            <v>Without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'Runway'!$C$5:$N$5</f>
            </numRef>
          </cat>
          <val>
            <numRef>
              <f>'Runway'!$C$16:$N$16</f>
            </numRef>
          </val>
        </ser>
        <ser>
          <idx val="1"/>
          <order val="1"/>
          <tx>
            <v>With €500k loan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'Runway'!$C$5:$N$5</f>
            </numRef>
          </cat>
          <val>
            <numRef>
              <f>'Runway'!$C$32:$N$32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F9D8A"/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Luca – 12-month financial model (Chief of Staff hiring case)</t>
        </is>
      </c>
      <c r="B1" s="2" t="n"/>
      <c r="C1" s="2" t="n"/>
      <c r="D1" s="2" t="n"/>
      <c r="E1" s="2" t="n"/>
      <c r="F1" s="2" t="n"/>
    </row>
    <row r="2">
      <c r="A2" s="3" t="inlineStr">
        <is>
          <t>All data fictional. Model is fully formula-driven; change inputs on the Assumptions tab.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4" t="inlineStr">
        <is>
          <t>How to use</t>
        </is>
      </c>
      <c r="C4" s="2" t="n"/>
      <c r="D4" s="2" t="n"/>
      <c r="E4" s="2" t="n"/>
      <c r="F4" s="2" t="n"/>
    </row>
    <row r="5">
      <c r="A5" s="2" t="n"/>
      <c r="B5" s="5" t="inlineStr">
        <is>
          <t>1. Assumptions – every input (blue on yellow), scenario selector (C6) and loan switch (C7).</t>
        </is>
      </c>
      <c r="C5" s="2" t="n"/>
      <c r="D5" s="2" t="n"/>
      <c r="E5" s="2" t="n"/>
      <c r="F5" s="2" t="n"/>
    </row>
    <row r="6">
      <c r="A6" s="2" t="n"/>
      <c r="B6" s="5" t="inlineStr">
        <is>
          <t>2. Headcount – 25 named hires (role, level, start month) → monthly headcount, salaries, benefits, hiring cost.</t>
        </is>
      </c>
      <c r="C6" s="2" t="n"/>
      <c r="D6" s="2" t="n"/>
      <c r="E6" s="2" t="n"/>
      <c r="F6" s="2" t="n"/>
    </row>
    <row r="7">
      <c r="A7" s="2" t="n"/>
      <c r="B7" s="5" t="inlineStr">
        <is>
          <t>3. P&amp;L – monthly profit &amp; loss; memo block shows net income with AND without the loan.</t>
        </is>
      </c>
      <c r="C7" s="2" t="n"/>
      <c r="D7" s="2" t="n"/>
      <c r="E7" s="2" t="n"/>
      <c r="F7" s="2" t="n"/>
    </row>
    <row r="8">
      <c r="A8" s="2" t="n"/>
      <c r="B8" s="5" t="inlineStr">
        <is>
          <t>4. Cash Flow – indirect method (net income → CFO → CFI → CFF), working-capital schedule, balance-sheet check.</t>
        </is>
      </c>
      <c r="C8" s="2" t="n"/>
      <c r="D8" s="2" t="n"/>
      <c r="E8" s="2" t="n"/>
      <c r="F8" s="2" t="n"/>
    </row>
    <row r="9">
      <c r="A9" s="2" t="n"/>
      <c r="B9" s="5" t="inlineStr">
        <is>
          <t>5. Runway – monthly &amp; cumulative cash, burn and runway for Base WITH loan vs. WITHOUT loan, side by side.</t>
        </is>
      </c>
      <c r="C9" s="2" t="n"/>
      <c r="D9" s="2" t="n"/>
      <c r="E9" s="2" t="n"/>
      <c r="F9" s="2" t="n"/>
    </row>
    <row r="10">
      <c r="A10" s="2" t="n"/>
      <c r="B10" s="5" t="inlineStr">
        <is>
          <t>6. Loan – €500k, 6%, 24m (6m interest-only + 18m annuity) waterfall in EUR and USD + FX sensitivity.</t>
        </is>
      </c>
      <c r="C10" s="2" t="n"/>
      <c r="D10" s="2" t="n"/>
      <c r="E10" s="2" t="n"/>
      <c r="F10" s="2" t="n"/>
    </row>
    <row r="11">
      <c r="A11" s="2" t="n"/>
      <c r="B11" s="5" t="inlineStr">
        <is>
          <t>7. Scenario Summary – Base / Downside / Stress outputs side by side (snapshot) for the board deck.</t>
        </is>
      </c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3" t="inlineStr">
        <is>
          <t>Colour code: blue font on yellow = input · black = formula · green = link to another tab.</t>
        </is>
      </c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4">
        <f>"Headline KPIs – active scenario: "&amp;Assumptions!$D$6</f>
        <v/>
      </c>
      <c r="C15" s="2" t="n"/>
      <c r="D15" s="2" t="n"/>
      <c r="E15" s="2" t="n"/>
      <c r="F15" s="2" t="n"/>
    </row>
    <row r="16">
      <c r="A16" s="2" t="n"/>
      <c r="B16" s="6" t="inlineStr">
        <is>
          <t>Metric</t>
        </is>
      </c>
      <c r="C16" s="6" t="inlineStr">
        <is>
          <t>Month 1</t>
        </is>
      </c>
      <c r="D16" s="6" t="inlineStr">
        <is>
          <t>Month 12</t>
        </is>
      </c>
      <c r="E16" s="6" t="inlineStr">
        <is>
          <t>12-month total</t>
        </is>
      </c>
      <c r="F16" s="2" t="inlineStr"/>
    </row>
    <row r="17">
      <c r="A17" s="2" t="n"/>
      <c r="B17" s="7" t="inlineStr">
        <is>
          <t>Revenue</t>
        </is>
      </c>
      <c r="C17" s="8">
        <f>'P&amp;L'!C8</f>
        <v/>
      </c>
      <c r="D17" s="8">
        <f>'P&amp;L'!N8</f>
        <v/>
      </c>
      <c r="E17" s="8">
        <f>'P&amp;L'!O8</f>
        <v/>
      </c>
      <c r="F17" s="2" t="n"/>
    </row>
    <row r="18">
      <c r="A18" s="2" t="n"/>
      <c r="B18" s="2" t="inlineStr">
        <is>
          <t>Gross margin %</t>
        </is>
      </c>
      <c r="C18" s="9">
        <f>'P&amp;L'!C10</f>
        <v/>
      </c>
      <c r="D18" s="9">
        <f>'P&amp;L'!N10</f>
        <v/>
      </c>
      <c r="E18" s="9">
        <f>'P&amp;L'!O10</f>
        <v/>
      </c>
      <c r="F18" s="2" t="n"/>
    </row>
    <row r="19">
      <c r="A19" s="2" t="n"/>
      <c r="B19" s="7" t="inlineStr">
        <is>
          <t>Total operating expenses</t>
        </is>
      </c>
      <c r="C19" s="8">
        <f>-'P&amp;L'!C21</f>
        <v/>
      </c>
      <c r="D19" s="8">
        <f>-'P&amp;L'!N21</f>
        <v/>
      </c>
      <c r="E19" s="8">
        <f>-'P&amp;L'!O21</f>
        <v/>
      </c>
      <c r="F19" s="2" t="n"/>
    </row>
    <row r="20">
      <c r="A20" s="2" t="n"/>
      <c r="B20" s="2" t="inlineStr">
        <is>
          <t>EBITDA</t>
        </is>
      </c>
      <c r="C20" s="10">
        <f>'P&amp;L'!C24</f>
        <v/>
      </c>
      <c r="D20" s="10">
        <f>'P&amp;L'!N24</f>
        <v/>
      </c>
      <c r="E20" s="10">
        <f>'P&amp;L'!O24</f>
        <v/>
      </c>
      <c r="F20" s="2" t="n"/>
    </row>
    <row r="21">
      <c r="A21" s="2" t="n"/>
      <c r="B21" s="7" t="inlineStr">
        <is>
          <t>EBITDA margin</t>
        </is>
      </c>
      <c r="C21" s="11">
        <f>'P&amp;L'!C25</f>
        <v/>
      </c>
      <c r="D21" s="11">
        <f>'P&amp;L'!N25</f>
        <v/>
      </c>
      <c r="E21" s="11">
        <f>'P&amp;L'!O25</f>
        <v/>
      </c>
      <c r="F21" s="2" t="n"/>
    </row>
    <row r="22">
      <c r="A22" s="2" t="n"/>
      <c r="B22" s="2" t="inlineStr">
        <is>
          <t>Net income (statement case)</t>
        </is>
      </c>
      <c r="C22" s="10">
        <f>'P&amp;L'!C31</f>
        <v/>
      </c>
      <c r="D22" s="10">
        <f>'P&amp;L'!N31</f>
        <v/>
      </c>
      <c r="E22" s="10">
        <f>'P&amp;L'!O31</f>
        <v/>
      </c>
      <c r="F22" s="2" t="n"/>
    </row>
    <row r="23">
      <c r="A23" s="2" t="n"/>
      <c r="B23" s="7" t="inlineStr">
        <is>
          <t>New-plan headcount (end of month)</t>
        </is>
      </c>
      <c r="C23" s="12">
        <f>Headcount!C40</f>
        <v/>
      </c>
      <c r="D23" s="12">
        <f>Headcount!N40</f>
        <v/>
      </c>
      <c r="E23" s="12">
        <f>Headcount!O40</f>
        <v/>
      </c>
      <c r="F23" s="2" t="n"/>
    </row>
    <row r="24">
      <c r="A24" s="2" t="n"/>
      <c r="B24" s="2" t="inlineStr">
        <is>
          <t>Free cash flow (pre-financing)</t>
        </is>
      </c>
      <c r="C24" s="10">
        <f>'Cash Flow'!C28</f>
        <v/>
      </c>
      <c r="D24" s="10">
        <f>'Cash Flow'!N28</f>
        <v/>
      </c>
      <c r="E24" s="10">
        <f>'Cash Flow'!O28</f>
        <v/>
      </c>
      <c r="F24" s="2" t="n"/>
    </row>
    <row r="25">
      <c r="A25" s="2" t="n"/>
      <c r="B25" s="7" t="inlineStr">
        <is>
          <t>Closing cash – WITHOUT loan</t>
        </is>
      </c>
      <c r="C25" s="8">
        <f>Runway!C16</f>
        <v/>
      </c>
      <c r="D25" s="8">
        <f>Runway!N16</f>
        <v/>
      </c>
      <c r="E25" s="8" t="n"/>
      <c r="F25" s="2" t="n"/>
    </row>
    <row r="26">
      <c r="A26" s="2" t="n"/>
      <c r="B26" s="2" t="inlineStr">
        <is>
          <t>Closing cash – WITH loan</t>
        </is>
      </c>
      <c r="C26" s="10">
        <f>Runway!C32</f>
        <v/>
      </c>
      <c r="D26" s="10">
        <f>Runway!N32</f>
        <v/>
      </c>
      <c r="E26" s="10" t="n"/>
      <c r="F26" s="2" t="n"/>
    </row>
    <row r="27">
      <c r="A27" s="2" t="n"/>
      <c r="B27" s="7" t="inlineStr">
        <is>
          <t>Runway – WITHOUT loan (months)</t>
        </is>
      </c>
      <c r="C27" s="13" t="n"/>
      <c r="D27" s="13" t="n"/>
      <c r="E27" s="13">
        <f>Runway!C48</f>
        <v/>
      </c>
      <c r="F27" s="2" t="n"/>
    </row>
    <row r="28">
      <c r="A28" s="2" t="n"/>
      <c r="B28" s="2" t="inlineStr">
        <is>
          <t>Runway – WITH loan (months)</t>
        </is>
      </c>
      <c r="C28" s="14" t="n"/>
      <c r="D28" s="14" t="n"/>
      <c r="E28" s="14">
        <f>Runway!D48</f>
        <v/>
      </c>
      <c r="F28" s="2" t="n"/>
    </row>
    <row r="29">
      <c r="A29" s="2" t="n"/>
      <c r="B29" s="7" t="inlineStr">
        <is>
          <t>Balance-sheet check (must be 0)</t>
        </is>
      </c>
      <c r="C29" s="8" t="n"/>
      <c r="D29" s="8" t="n"/>
      <c r="E29" s="8">
        <f>'Cash Flow'!O44</f>
        <v/>
      </c>
      <c r="F29" s="2" t="n"/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6" customWidth="1" min="3" max="3"/>
    <col width="16" customWidth="1" min="4" max="4"/>
    <col width="16" customWidth="1" min="5" max="5"/>
    <col width="16" customWidth="1" min="6" max="6"/>
    <col width="70" customWidth="1" min="7" max="7"/>
  </cols>
  <sheetData>
    <row r="1">
      <c r="A1" s="1" t="inlineStr">
        <is>
          <t>Assumptions &amp; scenario controls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Blue cells on yellow = inputs. Everything else in the workbook is a formula. Source column shows whether a value comes from the case brief or is a Chief of Staff assumption.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6" t="inlineStr">
        <is>
          <t>Model controls</t>
        </is>
      </c>
      <c r="C4" s="6" t="inlineStr">
        <is>
          <t>Value</t>
        </is>
      </c>
      <c r="D4" s="6" t="inlineStr"/>
      <c r="E4" s="6" t="inlineStr"/>
      <c r="F4" s="6" t="inlineStr"/>
      <c r="G4" s="6" t="inlineStr">
        <is>
          <t>Source / rationale</t>
        </is>
      </c>
    </row>
    <row r="5">
      <c r="A5" s="2" t="n"/>
      <c r="B5" s="5" t="inlineStr">
        <is>
          <t>Model start month (Month 1)</t>
        </is>
      </c>
      <c r="C5" s="15" t="n">
        <v>46327</v>
      </c>
      <c r="D5" s="2" t="n"/>
      <c r="E5" s="2" t="n"/>
      <c r="F5" s="2" t="n"/>
      <c r="G5" s="3" t="inlineStr">
        <is>
          <t>Assumption: first full month after the plan is approved.</t>
        </is>
      </c>
    </row>
    <row r="6">
      <c r="A6" s="2" t="n"/>
      <c r="B6" s="5" t="inlineStr">
        <is>
          <t>Active operating scenario (1 = Base, 2 = Downside, 3 = Stress)</t>
        </is>
      </c>
      <c r="C6" s="16" t="n">
        <v>1</v>
      </c>
      <c r="D6" s="17">
        <f>INDEX(D10:F10,1,C6)</f>
        <v/>
      </c>
      <c r="E6" s="2" t="n"/>
      <c r="F6" s="2" t="n"/>
      <c r="G6" s="3" t="inlineStr">
        <is>
          <t>Drives P&amp;L, Cash Flow and Runway. Base = case assumptions exactly.</t>
        </is>
      </c>
    </row>
    <row r="7">
      <c r="A7" s="2" t="n"/>
      <c r="B7" s="5" t="inlineStr">
        <is>
          <t>Show loan in P&amp;L / Cash Flow statements? (1 = with loan, 0 = without)</t>
        </is>
      </c>
      <c r="C7" s="16" t="n">
        <v>1</v>
      </c>
      <c r="D7" s="17">
        <f>IF(C7=1,"With €500k loan","Without loan")</f>
        <v/>
      </c>
      <c r="E7" s="2" t="n"/>
      <c r="F7" s="2" t="n"/>
      <c r="G7" s="3" t="inlineStr">
        <is>
          <t>Runway tab always shows BOTH cases side by side, independent of this switch.</t>
        </is>
      </c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6" t="inlineStr">
        <is>
          <t>Scenario table</t>
        </is>
      </c>
      <c r="C10" s="6" t="inlineStr">
        <is>
          <t>Active</t>
        </is>
      </c>
      <c r="D10" s="6" t="inlineStr">
        <is>
          <t>Base</t>
        </is>
      </c>
      <c r="E10" s="6" t="inlineStr">
        <is>
          <t>Downside</t>
        </is>
      </c>
      <c r="F10" s="6" t="inlineStr">
        <is>
          <t>Stress</t>
        </is>
      </c>
      <c r="G10" s="6" t="inlineStr">
        <is>
          <t>Definition</t>
        </is>
      </c>
    </row>
    <row r="11">
      <c r="A11" s="2" t="n"/>
      <c r="B11" s="3" t="inlineStr">
        <is>
          <t>Base = case brief exactly. Downside / Stress = Chief of Staff stress tests (illustrative).</t>
        </is>
      </c>
      <c r="C11" s="2" t="n"/>
      <c r="D11" s="2" t="n"/>
      <c r="E11" s="2" t="n"/>
      <c r="F11" s="2" t="n"/>
      <c r="G11" s="2" t="n"/>
    </row>
    <row r="12">
      <c r="A12" s="2" t="n"/>
      <c r="B12" s="5" t="inlineStr">
        <is>
          <t>Revenue growth, MoM (compound)</t>
        </is>
      </c>
      <c r="C12" s="18">
        <f>INDEX(D12:F12,1,$C$6)</f>
        <v/>
      </c>
      <c r="D12" s="19" t="n">
        <v>0.06</v>
      </c>
      <c r="E12" s="19" t="n">
        <v>0</v>
      </c>
      <c r="F12" s="19" t="n">
        <v>0</v>
      </c>
      <c r="G12" s="3" t="inlineStr">
        <is>
          <t>Case: 6% MoM. Downside/Stress: growth stalls (flat at $1.5M).</t>
        </is>
      </c>
    </row>
    <row r="13">
      <c r="A13" s="2" t="n"/>
      <c r="B13" s="5" t="inlineStr">
        <is>
          <t>Gross margin, Month 1</t>
        </is>
      </c>
      <c r="C13" s="18">
        <f>INDEX(D13:F13,1,$C$6)</f>
        <v/>
      </c>
      <c r="D13" s="19" t="n">
        <v>0.65</v>
      </c>
      <c r="E13" s="19" t="n">
        <v>0.65</v>
      </c>
      <c r="F13" s="19" t="n">
        <v>0.65</v>
      </c>
      <c r="G13" s="3" t="inlineStr">
        <is>
          <t>Case: 65%.</t>
        </is>
      </c>
    </row>
    <row r="14">
      <c r="A14" s="2" t="n"/>
      <c r="B14" s="5" t="inlineStr">
        <is>
          <t>Gross margin, Month 12 (linear compression)</t>
        </is>
      </c>
      <c r="C14" s="18">
        <f>INDEX(D14:F14,1,$C$6)</f>
        <v/>
      </c>
      <c r="D14" s="19" t="n">
        <v>0.6</v>
      </c>
      <c r="E14" s="19" t="n">
        <v>0.55</v>
      </c>
      <c r="F14" s="19" t="n">
        <v>0.55</v>
      </c>
      <c r="G14" s="3" t="inlineStr">
        <is>
          <t>Case: 60%. Downside/Stress: AI-video, hosting &amp; content costs scale faster than revenue.</t>
        </is>
      </c>
    </row>
    <row r="15">
      <c r="A15" s="2" t="n"/>
      <c r="B15" s="5" t="inlineStr">
        <is>
          <t>Days sales outstanding (DSO), Month 12</t>
        </is>
      </c>
      <c r="C15" s="20">
        <f>INDEX(D15:F15,1,$C$6)</f>
        <v/>
      </c>
      <c r="D15" s="16" t="n">
        <v>45</v>
      </c>
      <c r="E15" s="16" t="n">
        <v>90</v>
      </c>
      <c r="F15" s="16" t="n">
        <v>90</v>
      </c>
      <c r="G15" s="3" t="inlineStr">
        <is>
          <t>Assumption: schools pay at 45 days today; Downside/Stress: collections slip to 90 days (public/private school payment cycles).</t>
        </is>
      </c>
    </row>
    <row r="16">
      <c r="A16" s="2" t="n"/>
      <c r="B16" s="5" t="inlineStr">
        <is>
          <t>Existing run-rate opex not in case brief (USD / month)</t>
        </is>
      </c>
      <c r="C16" s="21">
        <f>INDEX(D16:F16,1,$C$6)</f>
        <v/>
      </c>
      <c r="D16" s="22" t="n">
        <v>0</v>
      </c>
      <c r="E16" s="22" t="n">
        <v>0</v>
      </c>
      <c r="F16" s="22" t="n">
        <v>1000000</v>
      </c>
      <c r="G16" s="3" t="inlineStr">
        <is>
          <t>Case brief contains only the 25 new hires + overhead + G&amp;A. Stress layers an illustrative $1.0M/month for Luca's existing team, GTM, hosting &amp; tools (~150 FTE).</t>
        </is>
      </c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6" t="inlineStr">
        <is>
          <t>Revenue</t>
        </is>
      </c>
      <c r="C19" s="6" t="inlineStr">
        <is>
          <t>Value</t>
        </is>
      </c>
      <c r="D19" s="6" t="inlineStr"/>
      <c r="E19" s="6" t="inlineStr"/>
      <c r="F19" s="6" t="inlineStr"/>
      <c r="G19" s="6" t="inlineStr">
        <is>
          <t>Source / rationale</t>
        </is>
      </c>
    </row>
    <row r="20">
      <c r="A20" s="2" t="n"/>
      <c r="B20" s="5" t="inlineStr">
        <is>
          <t>Starting monthly revenue (Month 1)</t>
        </is>
      </c>
      <c r="C20" s="22" t="n">
        <v>1500000</v>
      </c>
      <c r="D20" s="2" t="n"/>
      <c r="E20" s="2" t="n"/>
      <c r="F20" s="2" t="n"/>
      <c r="G20" s="3" t="inlineStr">
        <is>
          <t>Case: $1.5M.</t>
        </is>
      </c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6" t="inlineStr">
        <is>
          <t>Hiring &amp; people costs</t>
        </is>
      </c>
      <c r="C22" s="6" t="inlineStr">
        <is>
          <t>Value</t>
        </is>
      </c>
      <c r="D22" s="6" t="inlineStr"/>
      <c r="E22" s="6" t="inlineStr"/>
      <c r="F22" s="6" t="inlineStr"/>
      <c r="G22" s="6" t="inlineStr">
        <is>
          <t>Source / rationale</t>
        </is>
      </c>
    </row>
    <row r="23">
      <c r="A23" s="2" t="n"/>
      <c r="B23" s="5" t="inlineStr">
        <is>
          <t>Junior salary (USD / month)</t>
        </is>
      </c>
      <c r="C23" s="22" t="n">
        <v>3000</v>
      </c>
      <c r="D23" s="2" t="n"/>
      <c r="E23" s="2" t="n"/>
      <c r="F23" s="2" t="n"/>
      <c r="G23" s="3" t="inlineStr">
        <is>
          <t>Case.</t>
        </is>
      </c>
    </row>
    <row r="24">
      <c r="A24" s="2" t="n"/>
      <c r="B24" s="5" t="inlineStr">
        <is>
          <t>Senior salary (USD / month)</t>
        </is>
      </c>
      <c r="C24" s="22" t="n">
        <v>6000</v>
      </c>
      <c r="D24" s="2" t="n"/>
      <c r="E24" s="2" t="n"/>
      <c r="F24" s="2" t="n"/>
      <c r="G24" s="3" t="inlineStr">
        <is>
          <t>Case.</t>
        </is>
      </c>
    </row>
    <row r="25">
      <c r="A25" s="2" t="n"/>
      <c r="B25" s="5" t="inlineStr">
        <is>
          <t>One-off hiring cost per hire (USD)</t>
        </is>
      </c>
      <c r="C25" s="22" t="n">
        <v>6000</v>
      </c>
      <c r="D25" s="2" t="n"/>
      <c r="E25" s="2" t="n"/>
      <c r="F25" s="2" t="n"/>
      <c r="G25" s="3" t="inlineStr">
        <is>
          <t>Case. Expensed in the hire's start month (recruiter fee / job boards / onboarding).</t>
        </is>
      </c>
    </row>
    <row r="26">
      <c r="A26" s="2" t="n"/>
      <c r="B26" s="5" t="inlineStr">
        <is>
          <t>Benefits (% of total salary)</t>
        </is>
      </c>
      <c r="C26" s="23" t="n">
        <v>0.15</v>
      </c>
      <c r="D26" s="2" t="n"/>
      <c r="E26" s="2" t="n"/>
      <c r="F26" s="2" t="n"/>
      <c r="G26" s="3" t="inlineStr">
        <is>
          <t>Case.</t>
        </is>
      </c>
    </row>
    <row r="27">
      <c r="A27" s="2" t="n"/>
      <c r="B27" s="5" t="inlineStr">
        <is>
          <t>Equipment capex per hire (USD, laptop + setup)</t>
        </is>
      </c>
      <c r="C27" s="22" t="n">
        <v>1500</v>
      </c>
      <c r="D27" s="2" t="n"/>
      <c r="E27" s="2" t="n"/>
      <c r="F27" s="2" t="n"/>
      <c r="G27" s="3" t="inlineStr">
        <is>
          <t>Assumption. Capitalised, depreciated straight-line.</t>
        </is>
      </c>
    </row>
    <row r="28">
      <c r="A28" s="2" t="n"/>
      <c r="B28" s="5" t="inlineStr">
        <is>
          <t>Depreciation life (months)</t>
        </is>
      </c>
      <c r="C28" s="16" t="n">
        <v>36</v>
      </c>
      <c r="D28" s="2" t="n"/>
      <c r="E28" s="2" t="n"/>
      <c r="F28" s="2" t="n"/>
      <c r="G28" s="3" t="inlineStr">
        <is>
          <t>Assumption: 3 years.</t>
        </is>
      </c>
    </row>
    <row r="29">
      <c r="A29" s="2" t="n"/>
      <c r="B29" s="3" t="inlineStr">
        <is>
          <t>Hiring plan detail (25 hires, timing, level, function) lives on the Headcount tab.</t>
        </is>
      </c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6" t="inlineStr">
        <is>
          <t>Operating expenses</t>
        </is>
      </c>
      <c r="C31" s="6" t="inlineStr">
        <is>
          <t>Value</t>
        </is>
      </c>
      <c r="D31" s="6" t="inlineStr"/>
      <c r="E31" s="6" t="inlineStr"/>
      <c r="F31" s="6" t="inlineStr"/>
      <c r="G31" s="6" t="inlineStr">
        <is>
          <t>Source / rationale</t>
        </is>
      </c>
    </row>
    <row r="32">
      <c r="A32" s="2" t="n"/>
      <c r="B32" s="5" t="inlineStr">
        <is>
          <t>Overhead, Month 1 (USD / month)</t>
        </is>
      </c>
      <c r="C32" s="22" t="n">
        <v>40000</v>
      </c>
      <c r="D32" s="2" t="n"/>
      <c r="E32" s="2" t="n"/>
      <c r="F32" s="2" t="n"/>
      <c r="G32" s="3" t="inlineStr">
        <is>
          <t>Case: $40k.</t>
        </is>
      </c>
    </row>
    <row r="33">
      <c r="A33" s="2" t="n"/>
      <c r="B33" s="5" t="inlineStr">
        <is>
          <t>Overhead growth over 12 months</t>
        </is>
      </c>
      <c r="C33" s="23" t="n">
        <v>0.15</v>
      </c>
      <c r="D33" s="2" t="n"/>
      <c r="E33" s="2" t="n"/>
      <c r="F33" s="2" t="n"/>
      <c r="G33" s="3" t="inlineStr">
        <is>
          <t>Case: +15% over 12 months. Applied LINEARLY: Month m = $40k × (1 + 15% × (m−1)/11) → $46.0k in Month 12 (+$545/month). Linear chosen because overhead steps with headcount/office additions, not compounding.</t>
        </is>
      </c>
    </row>
    <row r="34">
      <c r="A34" s="2" t="n"/>
      <c r="B34" s="5" t="inlineStr">
        <is>
          <t>G&amp;A / Legal (USD / month, fixed)</t>
        </is>
      </c>
      <c r="C34" s="22" t="n">
        <v>20000</v>
      </c>
      <c r="D34" s="2" t="n"/>
      <c r="E34" s="2" t="n"/>
      <c r="F34" s="2" t="n"/>
      <c r="G34" s="3" t="inlineStr">
        <is>
          <t>Case: $20k fixed.</t>
        </is>
      </c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6" t="inlineStr">
        <is>
          <t>Working capital, cash &amp; tax</t>
        </is>
      </c>
      <c r="C36" s="6" t="inlineStr">
        <is>
          <t>Value</t>
        </is>
      </c>
      <c r="D36" s="6" t="inlineStr"/>
      <c r="E36" s="6" t="inlineStr"/>
      <c r="F36" s="6" t="inlineStr"/>
      <c r="G36" s="6" t="inlineStr">
        <is>
          <t>Source / rationale</t>
        </is>
      </c>
    </row>
    <row r="37">
      <c r="A37" s="2" t="n"/>
      <c r="B37" s="5" t="inlineStr">
        <is>
          <t>Opening cash balance (USD)</t>
        </is>
      </c>
      <c r="C37" s="22" t="n">
        <v>3000000</v>
      </c>
      <c r="D37" s="2" t="n"/>
      <c r="E37" s="2" t="n"/>
      <c r="F37" s="2" t="n"/>
      <c r="G37" s="3" t="inlineStr">
        <is>
          <t>Assumption (not in brief): $3.0M post-Series A cash on hand at Month 0.</t>
        </is>
      </c>
    </row>
    <row r="38">
      <c r="A38" s="2" t="n"/>
      <c r="B38" s="5" t="inlineStr">
        <is>
          <t>DSO at Month 0 / Month 1 (days)</t>
        </is>
      </c>
      <c r="C38" s="16" t="n">
        <v>45</v>
      </c>
      <c r="D38" s="2" t="n"/>
      <c r="E38" s="2" t="n"/>
      <c r="F38" s="2" t="n"/>
      <c r="G38" s="3" t="inlineStr">
        <is>
          <t>Assumption: schools invoiced monthly, paid ~45 days. AR = revenue × DSO / 30.</t>
        </is>
      </c>
    </row>
    <row r="39">
      <c r="A39" s="2" t="n"/>
      <c r="B39" s="5" t="inlineStr">
        <is>
          <t>Payables days on COGS + overhead (days)</t>
        </is>
      </c>
      <c r="C39" s="16" t="n">
        <v>30</v>
      </c>
      <c r="D39" s="2" t="n"/>
      <c r="E39" s="2" t="n"/>
      <c r="F39" s="2" t="n"/>
      <c r="G39" s="3" t="inlineStr">
        <is>
          <t>Assumption: suppliers paid at 30 days. Opening AP set at Month-1 run-rate.</t>
        </is>
      </c>
    </row>
    <row r="40">
      <c r="A40" s="2" t="n"/>
      <c r="B40" s="5" t="inlineStr">
        <is>
          <t>Corporate income tax rate (on positive EBT)</t>
        </is>
      </c>
      <c r="C40" s="23" t="n">
        <v>0.3</v>
      </c>
      <c r="D40" s="2" t="n"/>
      <c r="E40" s="2" t="n"/>
      <c r="F40" s="2" t="n"/>
      <c r="G40" s="3" t="inlineStr">
        <is>
          <t>Assumption: Mexico ISR 30%. Accrued monthly, paid the following month (provisional payments). No loss carry-forwards / PTU modelled.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6" t="inlineStr">
        <is>
          <t>Loan scenario</t>
        </is>
      </c>
      <c r="C42" s="6" t="inlineStr">
        <is>
          <t>Value</t>
        </is>
      </c>
      <c r="D42" s="6" t="inlineStr"/>
      <c r="E42" s="6" t="inlineStr"/>
      <c r="F42" s="6" t="inlineStr"/>
      <c r="G42" s="6" t="inlineStr">
        <is>
          <t>Source / rationale</t>
        </is>
      </c>
    </row>
    <row r="43">
      <c r="A43" s="2" t="n"/>
      <c r="B43" s="5" t="inlineStr">
        <is>
          <t>Loan amount (EUR)</t>
        </is>
      </c>
      <c r="C43" s="24" t="n">
        <v>500000</v>
      </c>
      <c r="D43" s="2" t="n"/>
      <c r="E43" s="2" t="n"/>
      <c r="F43" s="2" t="n"/>
      <c r="G43" s="3" t="inlineStr">
        <is>
          <t>Case: €500k, drawn in full in Month 1.</t>
        </is>
      </c>
    </row>
    <row r="44">
      <c r="A44" s="2" t="n"/>
      <c r="B44" s="5" t="inlineStr">
        <is>
          <t>Interest rate (annual, nominal)</t>
        </is>
      </c>
      <c r="C44" s="23" t="n">
        <v>0.06</v>
      </c>
      <c r="D44" s="2" t="n"/>
      <c r="E44" s="2" t="n"/>
      <c r="F44" s="2" t="n"/>
      <c r="G44" s="3" t="inlineStr">
        <is>
          <t>Case: 6% → 0.5% per month.</t>
        </is>
      </c>
    </row>
    <row r="45">
      <c r="A45" s="2" t="n"/>
      <c r="B45" s="5" t="inlineStr">
        <is>
          <t>Term (months)</t>
        </is>
      </c>
      <c r="C45" s="16" t="n">
        <v>24</v>
      </c>
      <c r="D45" s="2" t="n"/>
      <c r="E45" s="2" t="n"/>
      <c r="F45" s="2" t="n"/>
      <c r="G45" s="3" t="inlineStr">
        <is>
          <t>Case: 24 months.</t>
        </is>
      </c>
    </row>
    <row r="46">
      <c r="A46" s="2" t="n"/>
      <c r="B46" s="5" t="inlineStr">
        <is>
          <t>Interest-only period (months)</t>
        </is>
      </c>
      <c r="C46" s="16" t="n">
        <v>6</v>
      </c>
      <c r="D46" s="2" t="n"/>
      <c r="E46" s="2" t="n"/>
      <c r="F46" s="2" t="n"/>
      <c r="G46" s="3" t="inlineStr">
        <is>
          <t>Case: first 6 months interest-only, then annuity amortisation over remaining 18 months.</t>
        </is>
      </c>
    </row>
    <row r="47">
      <c r="A47" s="2" t="n"/>
      <c r="B47" s="5" t="inlineStr">
        <is>
          <t>FX rate (USD per EUR)</t>
        </is>
      </c>
      <c r="C47" s="25" t="n">
        <v>1.1</v>
      </c>
      <c r="D47" s="2" t="n"/>
      <c r="E47" s="2" t="n"/>
      <c r="F47" s="2" t="n"/>
      <c r="G47" s="3" t="inlineStr">
        <is>
          <t>Case: €1 = $1.10, held flat. FX sensitivity shown on the Loan tab.</t>
        </is>
      </c>
    </row>
  </sheetData>
  <dataValidations count="2">
    <dataValidation sqref="C6" showDropDown="0" showInputMessage="0" showErrorMessage="0" allowBlank="0" type="whole" operator="between">
      <formula1>1</formula1>
      <formula2>3</formula2>
    </dataValidation>
    <dataValidation sqref="C7" showDropDown="0" showInputMessage="0" showErrorMessage="0" allowBlank="0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5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Headcount plan &amp; hiring costs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25 hires over Months 1–6 (10 senior / 15 junior). Edit start month or level in the table; everything downstream updates.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6" t="inlineStr">
        <is>
          <t>#</t>
        </is>
      </c>
      <c r="B4" s="6" t="inlineStr">
        <is>
          <t>Role</t>
        </is>
      </c>
      <c r="C4" s="6" t="inlineStr">
        <is>
          <t>Function</t>
        </is>
      </c>
      <c r="D4" s="6" t="inlineStr">
        <is>
          <t>Level</t>
        </is>
      </c>
      <c r="E4" s="6" t="inlineStr">
        <is>
          <t>Start month</t>
        </is>
      </c>
      <c r="F4" s="6" t="inlineStr">
        <is>
          <t>Monthly salary</t>
        </is>
      </c>
      <c r="G4" s="6" t="inlineStr">
        <is>
          <t>Hiring cost</t>
        </is>
      </c>
      <c r="H4" s="6" t="inlineStr">
        <is>
          <t>Why this hire / what it unlocks</t>
        </is>
      </c>
      <c r="I4" s="2" t="n"/>
      <c r="J4" s="2" t="n"/>
      <c r="K4" s="2" t="n"/>
      <c r="L4" s="2" t="n"/>
      <c r="M4" s="2" t="n"/>
      <c r="N4" s="2" t="n"/>
      <c r="O4" s="2" t="n"/>
    </row>
    <row r="5">
      <c r="A5" s="2" t="n">
        <v>1</v>
      </c>
      <c r="B5" s="2" t="inlineStr">
        <is>
          <t>Head of Content Operations</t>
        </is>
      </c>
      <c r="C5" s="2" t="inlineStr">
        <is>
          <t>Content &amp; Curriculum</t>
        </is>
      </c>
      <c r="D5" s="26" t="inlineStr">
        <is>
          <t>Senior</t>
        </is>
      </c>
      <c r="E5" s="26" t="n">
        <v>1</v>
      </c>
      <c r="F5" s="27">
        <f>IF(D5="Senior",Assumptions!$C$24,Assumptions!$C$23)</f>
        <v/>
      </c>
      <c r="G5" s="27">
        <f>Assumptions!$C$25</f>
        <v/>
      </c>
      <c r="H5" s="3" t="inlineStr">
        <is>
          <t>Owns the 300-video pipeline, WIP limits and stage SLAs.</t>
        </is>
      </c>
      <c r="I5" s="2" t="n"/>
      <c r="J5" s="2" t="n"/>
      <c r="K5" s="2" t="n"/>
      <c r="L5" s="2" t="n"/>
      <c r="M5" s="2" t="n"/>
      <c r="N5" s="2" t="n"/>
      <c r="O5" s="2" t="n"/>
    </row>
    <row r="6">
      <c r="A6" s="2" t="n">
        <v>2</v>
      </c>
      <c r="B6" s="2" t="inlineStr">
        <is>
          <t>Senior Account Executive (Mexico)</t>
        </is>
      </c>
      <c r="C6" s="2" t="inlineStr">
        <is>
          <t>Sales &amp; Partnerships</t>
        </is>
      </c>
      <c r="D6" s="26" t="inlineStr">
        <is>
          <t>Senior</t>
        </is>
      </c>
      <c r="E6" s="26" t="n">
        <v>1</v>
      </c>
      <c r="F6" s="27">
        <f>IF(D6="Senior",Assumptions!$C$24,Assumptions!$C$23)</f>
        <v/>
      </c>
      <c r="G6" s="27">
        <f>Assumptions!$C$25</f>
        <v/>
      </c>
      <c r="H6" s="3" t="inlineStr">
        <is>
          <t>Carries new-logo quota to sustain 6% MoM growth.</t>
        </is>
      </c>
      <c r="I6" s="2" t="n"/>
      <c r="J6" s="2" t="n"/>
      <c r="K6" s="2" t="n"/>
      <c r="L6" s="2" t="n"/>
      <c r="M6" s="2" t="n"/>
      <c r="N6" s="2" t="n"/>
      <c r="O6" s="2" t="n"/>
    </row>
    <row r="7">
      <c r="A7" s="2" t="n">
        <v>3</v>
      </c>
      <c r="B7" s="2" t="inlineStr">
        <is>
          <t>Senior AI / Backend Engineer</t>
        </is>
      </c>
      <c r="C7" s="2" t="inlineStr">
        <is>
          <t>Product &amp; Engineering</t>
        </is>
      </c>
      <c r="D7" s="26" t="inlineStr">
        <is>
          <t>Senior</t>
        </is>
      </c>
      <c r="E7" s="26" t="n">
        <v>1</v>
      </c>
      <c r="F7" s="27">
        <f>IF(D7="Senior",Assumptions!$C$24,Assumptions!$C$23)</f>
        <v/>
      </c>
      <c r="G7" s="27">
        <f>Assumptions!$C$25</f>
        <v/>
      </c>
      <c r="H7" s="3" t="inlineStr">
        <is>
          <t>Builds the AI video-production tool (Step 3) to cut unit cost.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>
        <v>4</v>
      </c>
      <c r="B8" s="2" t="inlineStr">
        <is>
          <t>Motion Designer</t>
        </is>
      </c>
      <c r="C8" s="2" t="inlineStr">
        <is>
          <t>Content &amp; Curriculum</t>
        </is>
      </c>
      <c r="D8" s="26" t="inlineStr">
        <is>
          <t>Junior</t>
        </is>
      </c>
      <c r="E8" s="26" t="n">
        <v>1</v>
      </c>
      <c r="F8" s="27">
        <f>IF(D8="Senior",Assumptions!$C$24,Assumptions!$C$23)</f>
        <v/>
      </c>
      <c r="G8" s="27">
        <f>Assumptions!$C$25</f>
        <v/>
      </c>
      <c r="H8" s="3" t="inlineStr">
        <is>
          <t>Adds capacity at the slowest creative stage (5 h/unit).</t>
        </is>
      </c>
      <c r="I8" s="2" t="n"/>
      <c r="J8" s="2" t="n"/>
      <c r="K8" s="2" t="n"/>
      <c r="L8" s="2" t="n"/>
      <c r="M8" s="2" t="n"/>
      <c r="N8" s="2" t="n"/>
      <c r="O8" s="2" t="n"/>
    </row>
    <row r="9">
      <c r="A9" s="2" t="n">
        <v>5</v>
      </c>
      <c r="B9" s="2" t="inlineStr">
        <is>
          <t>Scriptwriter</t>
        </is>
      </c>
      <c r="C9" s="2" t="inlineStr">
        <is>
          <t>Content &amp; Curriculum</t>
        </is>
      </c>
      <c r="D9" s="26" t="inlineStr">
        <is>
          <t>Junior</t>
        </is>
      </c>
      <c r="E9" s="26" t="n">
        <v>1</v>
      </c>
      <c r="F9" s="27">
        <f>IF(D9="Senior",Assumptions!$C$24,Assumptions!$C$23)</f>
        <v/>
      </c>
      <c r="G9" s="27">
        <f>Assumptions!$C$25</f>
        <v/>
      </c>
      <c r="H9" s="3" t="inlineStr">
        <is>
          <t>Relieves the script bottleneck (4 h/unit, heavy rework).</t>
        </is>
      </c>
      <c r="I9" s="2" t="n"/>
      <c r="J9" s="2" t="n"/>
      <c r="K9" s="2" t="n"/>
      <c r="L9" s="2" t="n"/>
      <c r="M9" s="2" t="n"/>
      <c r="N9" s="2" t="n"/>
      <c r="O9" s="2" t="n"/>
    </row>
    <row r="10">
      <c r="A10" s="2" t="n">
        <v>6</v>
      </c>
      <c r="B10" s="2" t="inlineStr">
        <is>
          <t>FP&amp;A / Finance Manager</t>
        </is>
      </c>
      <c r="C10" s="2" t="inlineStr">
        <is>
          <t>Finance, Legal &amp; Ops</t>
        </is>
      </c>
      <c r="D10" s="26" t="inlineStr">
        <is>
          <t>Senior</t>
        </is>
      </c>
      <c r="E10" s="26" t="n">
        <v>2</v>
      </c>
      <c r="F10" s="27">
        <f>IF(D10="Senior",Assumptions!$C$24,Assumptions!$C$23)</f>
        <v/>
      </c>
      <c r="G10" s="27">
        <f>Assumptions!$C$25</f>
        <v/>
      </c>
      <c r="H10" s="3" t="inlineStr">
        <is>
          <t>Monthly close, cash forecasting, board reporting, AR collections.</t>
        </is>
      </c>
      <c r="I10" s="2" t="n"/>
      <c r="J10" s="2" t="n"/>
      <c r="K10" s="2" t="n"/>
      <c r="L10" s="2" t="n"/>
      <c r="M10" s="2" t="n"/>
      <c r="N10" s="2" t="n"/>
      <c r="O10" s="2" t="n"/>
    </row>
    <row r="11">
      <c r="A11" s="2" t="n">
        <v>7</v>
      </c>
      <c r="B11" s="2" t="inlineStr">
        <is>
          <t>Senior Product Manager (AI Content Tools)</t>
        </is>
      </c>
      <c r="C11" s="2" t="inlineStr">
        <is>
          <t>Product &amp; Engineering</t>
        </is>
      </c>
      <c r="D11" s="26" t="inlineStr">
        <is>
          <t>Senior</t>
        </is>
      </c>
      <c r="E11" s="26" t="n">
        <v>2</v>
      </c>
      <c r="F11" s="27">
        <f>IF(D11="Senior",Assumptions!$C$24,Assumptions!$C$23)</f>
        <v/>
      </c>
      <c r="G11" s="27">
        <f>Assumptions!$C$25</f>
        <v/>
      </c>
      <c r="H11" s="3" t="inlineStr">
        <is>
          <t>Product owner for content tooling &amp; AI roadmap.</t>
        </is>
      </c>
      <c r="I11" s="2" t="n"/>
      <c r="J11" s="2" t="n"/>
      <c r="K11" s="2" t="n"/>
      <c r="L11" s="2" t="n"/>
      <c r="M11" s="2" t="n"/>
      <c r="N11" s="2" t="n"/>
      <c r="O11" s="2" t="n"/>
    </row>
    <row r="12">
      <c r="A12" s="2" t="n">
        <v>8</v>
      </c>
      <c r="B12" s="2" t="inlineStr">
        <is>
          <t>Motion Designer</t>
        </is>
      </c>
      <c r="C12" s="2" t="inlineStr">
        <is>
          <t>Content &amp; Curriculum</t>
        </is>
      </c>
      <c r="D12" s="26" t="inlineStr">
        <is>
          <t>Junior</t>
        </is>
      </c>
      <c r="E12" s="26" t="n">
        <v>2</v>
      </c>
      <c r="F12" s="27">
        <f>IF(D12="Senior",Assumptions!$C$24,Assumptions!$C$23)</f>
        <v/>
      </c>
      <c r="G12" s="27">
        <f>Assumptions!$C$25</f>
        <v/>
      </c>
      <c r="H12" s="3" t="inlineStr">
        <is>
          <t>Adds capacity at the slowest creative stage (5 h/unit).</t>
        </is>
      </c>
      <c r="I12" s="2" t="n"/>
      <c r="J12" s="2" t="n"/>
      <c r="K12" s="2" t="n"/>
      <c r="L12" s="2" t="n"/>
      <c r="M12" s="2" t="n"/>
      <c r="N12" s="2" t="n"/>
      <c r="O12" s="2" t="n"/>
    </row>
    <row r="13">
      <c r="A13" s="2" t="n">
        <v>9</v>
      </c>
      <c r="B13" s="2" t="inlineStr">
        <is>
          <t>Customer Success Associate</t>
        </is>
      </c>
      <c r="C13" s="2" t="inlineStr">
        <is>
          <t>Customer Success</t>
        </is>
      </c>
      <c r="D13" s="26" t="inlineStr">
        <is>
          <t>Junior</t>
        </is>
      </c>
      <c r="E13" s="26" t="n">
        <v>2</v>
      </c>
      <c r="F13" s="27">
        <f>IF(D13="Senior",Assumptions!$C$24,Assumptions!$C$23)</f>
        <v/>
      </c>
      <c r="G13" s="27">
        <f>Assumptions!$C$25</f>
        <v/>
      </c>
      <c r="H13" s="3" t="inlineStr">
        <is>
          <t>Keeps school onboarding + renewals ahead of customer growth.</t>
        </is>
      </c>
      <c r="I13" s="2" t="n"/>
      <c r="J13" s="2" t="n"/>
      <c r="K13" s="2" t="n"/>
      <c r="L13" s="2" t="n"/>
      <c r="M13" s="2" t="n"/>
      <c r="N13" s="2" t="n"/>
      <c r="O13" s="2" t="n"/>
    </row>
    <row r="14">
      <c r="A14" s="2" t="n">
        <v>10</v>
      </c>
      <c r="B14" s="2" t="inlineStr">
        <is>
          <t>SDR / Business Development Rep</t>
        </is>
      </c>
      <c r="C14" s="2" t="inlineStr">
        <is>
          <t>Sales &amp; Partnerships</t>
        </is>
      </c>
      <c r="D14" s="26" t="inlineStr">
        <is>
          <t>Junior</t>
        </is>
      </c>
      <c r="E14" s="26" t="n">
        <v>2</v>
      </c>
      <c r="F14" s="27">
        <f>IF(D14="Senior",Assumptions!$C$24,Assumptions!$C$23)</f>
        <v/>
      </c>
      <c r="G14" s="27">
        <f>Assumptions!$C$25</f>
        <v/>
      </c>
      <c r="H14" s="3" t="inlineStr">
        <is>
          <t>Pipeline generation for AEs.</t>
        </is>
      </c>
      <c r="I14" s="2" t="n"/>
      <c r="J14" s="2" t="n"/>
      <c r="K14" s="2" t="n"/>
      <c r="L14" s="2" t="n"/>
      <c r="M14" s="2" t="n"/>
      <c r="N14" s="2" t="n"/>
      <c r="O14" s="2" t="n"/>
    </row>
    <row r="15">
      <c r="A15" s="2" t="n">
        <v>11</v>
      </c>
      <c r="B15" s="2" t="inlineStr">
        <is>
          <t>Senior Account Executive (Expansion market)</t>
        </is>
      </c>
      <c r="C15" s="2" t="inlineStr">
        <is>
          <t>Sales &amp; Partnerships</t>
        </is>
      </c>
      <c r="D15" s="26" t="inlineStr">
        <is>
          <t>Senior</t>
        </is>
      </c>
      <c r="E15" s="26" t="n">
        <v>3</v>
      </c>
      <c r="F15" s="27">
        <f>IF(D15="Senior",Assumptions!$C$24,Assumptions!$C$23)</f>
        <v/>
      </c>
      <c r="G15" s="27">
        <f>Assumptions!$C$25</f>
        <v/>
      </c>
      <c r="H15" s="3" t="inlineStr">
        <is>
          <t>Opens first market outside Mexico.</t>
        </is>
      </c>
      <c r="I15" s="2" t="n"/>
      <c r="J15" s="2" t="n"/>
      <c r="K15" s="2" t="n"/>
      <c r="L15" s="2" t="n"/>
      <c r="M15" s="2" t="n"/>
      <c r="N15" s="2" t="n"/>
      <c r="O15" s="2" t="n"/>
    </row>
    <row r="16">
      <c r="A16" s="2" t="n">
        <v>12</v>
      </c>
      <c r="B16" s="2" t="inlineStr">
        <is>
          <t>Senior Curriculum Lead (Secondary)</t>
        </is>
      </c>
      <c r="C16" s="2" t="inlineStr">
        <is>
          <t>Content &amp; Curriculum</t>
        </is>
      </c>
      <c r="D16" s="26" t="inlineStr">
        <is>
          <t>Senior</t>
        </is>
      </c>
      <c r="E16" s="26" t="n">
        <v>3</v>
      </c>
      <c r="F16" s="27">
        <f>IF(D16="Senior",Assumptions!$C$24,Assumptions!$C$23)</f>
        <v/>
      </c>
      <c r="G16" s="27">
        <f>Assumptions!$C$25</f>
        <v/>
      </c>
      <c r="H16" s="3" t="inlineStr">
        <is>
          <t>Curriculum sign-off authority; reduces author↔script rework.</t>
        </is>
      </c>
      <c r="I16" s="2" t="n"/>
      <c r="J16" s="2" t="n"/>
      <c r="K16" s="2" t="n"/>
      <c r="L16" s="2" t="n"/>
      <c r="M16" s="2" t="n"/>
      <c r="N16" s="2" t="n"/>
      <c r="O16" s="2" t="n"/>
    </row>
    <row r="17">
      <c r="A17" s="2" t="n">
        <v>13</v>
      </c>
      <c r="B17" s="2" t="inlineStr">
        <is>
          <t>Scriptwriter</t>
        </is>
      </c>
      <c r="C17" s="2" t="inlineStr">
        <is>
          <t>Content &amp; Curriculum</t>
        </is>
      </c>
      <c r="D17" s="26" t="inlineStr">
        <is>
          <t>Junior</t>
        </is>
      </c>
      <c r="E17" s="26" t="n">
        <v>3</v>
      </c>
      <c r="F17" s="27">
        <f>IF(D17="Senior",Assumptions!$C$24,Assumptions!$C$23)</f>
        <v/>
      </c>
      <c r="G17" s="27">
        <f>Assumptions!$C$25</f>
        <v/>
      </c>
      <c r="H17" s="3" t="inlineStr">
        <is>
          <t>Relieves the script bottleneck (4 h/unit, heavy rework).</t>
        </is>
      </c>
      <c r="I17" s="2" t="n"/>
      <c r="J17" s="2" t="n"/>
      <c r="K17" s="2" t="n"/>
      <c r="L17" s="2" t="n"/>
      <c r="M17" s="2" t="n"/>
      <c r="N17" s="2" t="n"/>
      <c r="O17" s="2" t="n"/>
    </row>
    <row r="18">
      <c r="A18" s="2" t="n">
        <v>14</v>
      </c>
      <c r="B18" s="2" t="inlineStr">
        <is>
          <t>Synthesia / AI Video Specialist</t>
        </is>
      </c>
      <c r="C18" s="2" t="inlineStr">
        <is>
          <t>Content &amp; Curriculum</t>
        </is>
      </c>
      <c r="D18" s="26" t="inlineStr">
        <is>
          <t>Junior</t>
        </is>
      </c>
      <c r="E18" s="26" t="n">
        <v>3</v>
      </c>
      <c r="F18" s="27">
        <f>IF(D18="Senior",Assumptions!$C$24,Assumptions!$C$23)</f>
        <v/>
      </c>
      <c r="G18" s="27">
        <f>Assumptions!$C$25</f>
        <v/>
      </c>
      <c r="H18" s="3" t="inlineStr">
        <is>
          <t>Doubles final-assembly capacity (6 h/unit stage).</t>
        </is>
      </c>
      <c r="I18" s="2" t="n"/>
      <c r="J18" s="2" t="n"/>
      <c r="K18" s="2" t="n"/>
      <c r="L18" s="2" t="n"/>
      <c r="M18" s="2" t="n"/>
      <c r="N18" s="2" t="n"/>
      <c r="O18" s="2" t="n"/>
    </row>
    <row r="19">
      <c r="A19" s="2" t="n">
        <v>15</v>
      </c>
      <c r="B19" s="2" t="inlineStr">
        <is>
          <t>Customer Success Associate</t>
        </is>
      </c>
      <c r="C19" s="2" t="inlineStr">
        <is>
          <t>Customer Success</t>
        </is>
      </c>
      <c r="D19" s="26" t="inlineStr">
        <is>
          <t>Junior</t>
        </is>
      </c>
      <c r="E19" s="26" t="n">
        <v>3</v>
      </c>
      <c r="F19" s="27">
        <f>IF(D19="Senior",Assumptions!$C$24,Assumptions!$C$23)</f>
        <v/>
      </c>
      <c r="G19" s="27">
        <f>Assumptions!$C$25</f>
        <v/>
      </c>
      <c r="H19" s="3" t="inlineStr">
        <is>
          <t>Keeps school onboarding + renewals ahead of customer growth.</t>
        </is>
      </c>
      <c r="I19" s="2" t="n"/>
      <c r="J19" s="2" t="n"/>
      <c r="K19" s="2" t="n"/>
      <c r="L19" s="2" t="n"/>
      <c r="M19" s="2" t="n"/>
      <c r="N19" s="2" t="n"/>
      <c r="O19" s="2" t="n"/>
    </row>
    <row r="20">
      <c r="A20" s="2" t="n">
        <v>16</v>
      </c>
      <c r="B20" s="2" t="inlineStr">
        <is>
          <t>Head of Customer Success</t>
        </is>
      </c>
      <c r="C20" s="2" t="inlineStr">
        <is>
          <t>Customer Success</t>
        </is>
      </c>
      <c r="D20" s="26" t="inlineStr">
        <is>
          <t>Senior</t>
        </is>
      </c>
      <c r="E20" s="26" t="n">
        <v>4</v>
      </c>
      <c r="F20" s="27">
        <f>IF(D20="Senior",Assumptions!$C$24,Assumptions!$C$23)</f>
        <v/>
      </c>
      <c r="G20" s="27">
        <f>Assumptions!$C$25</f>
        <v/>
      </c>
      <c r="H20" s="3" t="inlineStr">
        <is>
          <t>Scales CS org; owns gross revenue retention.</t>
        </is>
      </c>
      <c r="I20" s="2" t="n"/>
      <c r="J20" s="2" t="n"/>
      <c r="K20" s="2" t="n"/>
      <c r="L20" s="2" t="n"/>
      <c r="M20" s="2" t="n"/>
      <c r="N20" s="2" t="n"/>
      <c r="O20" s="2" t="n"/>
    </row>
    <row r="21">
      <c r="A21" s="2" t="n">
        <v>17</v>
      </c>
      <c r="B21" s="2" t="inlineStr">
        <is>
          <t>Graphic Designer</t>
        </is>
      </c>
      <c r="C21" s="2" t="inlineStr">
        <is>
          <t>Content &amp; Curriculum</t>
        </is>
      </c>
      <c r="D21" s="26" t="inlineStr">
        <is>
          <t>Junior</t>
        </is>
      </c>
      <c r="E21" s="26" t="n">
        <v>4</v>
      </c>
      <c r="F21" s="27">
        <f>IF(D21="Senior",Assumptions!$C$24,Assumptions!$C$23)</f>
        <v/>
      </c>
      <c r="G21" s="27">
        <f>Assumptions!$C$25</f>
        <v/>
      </c>
      <c r="H21" s="3" t="inlineStr">
        <is>
          <t>Builds reusable asset library / templates.</t>
        </is>
      </c>
      <c r="I21" s="2" t="n"/>
      <c r="J21" s="2" t="n"/>
      <c r="K21" s="2" t="n"/>
      <c r="L21" s="2" t="n"/>
      <c r="M21" s="2" t="n"/>
      <c r="N21" s="2" t="n"/>
      <c r="O21" s="2" t="n"/>
    </row>
    <row r="22">
      <c r="A22" s="2" t="n">
        <v>18</v>
      </c>
      <c r="B22" s="2" t="inlineStr">
        <is>
          <t>SDR / Business Development Rep</t>
        </is>
      </c>
      <c r="C22" s="2" t="inlineStr">
        <is>
          <t>Sales &amp; Partnerships</t>
        </is>
      </c>
      <c r="D22" s="26" t="inlineStr">
        <is>
          <t>Junior</t>
        </is>
      </c>
      <c r="E22" s="26" t="n">
        <v>4</v>
      </c>
      <c r="F22" s="27">
        <f>IF(D22="Senior",Assumptions!$C$24,Assumptions!$C$23)</f>
        <v/>
      </c>
      <c r="G22" s="27">
        <f>Assumptions!$C$25</f>
        <v/>
      </c>
      <c r="H22" s="3" t="inlineStr">
        <is>
          <t>Pipeline generation for AEs.</t>
        </is>
      </c>
      <c r="I22" s="2" t="n"/>
      <c r="J22" s="2" t="n"/>
      <c r="K22" s="2" t="n"/>
      <c r="L22" s="2" t="n"/>
      <c r="M22" s="2" t="n"/>
      <c r="N22" s="2" t="n"/>
      <c r="O22" s="2" t="n"/>
    </row>
    <row r="23">
      <c r="A23" s="2" t="n">
        <v>19</v>
      </c>
      <c r="B23" s="2" t="inlineStr">
        <is>
          <t>Data Analyst (RevOps / BI)</t>
        </is>
      </c>
      <c r="C23" s="2" t="inlineStr">
        <is>
          <t>Finance, Legal &amp; Ops</t>
        </is>
      </c>
      <c r="D23" s="26" t="inlineStr">
        <is>
          <t>Junior</t>
        </is>
      </c>
      <c r="E23" s="26" t="n">
        <v>4</v>
      </c>
      <c r="F23" s="27">
        <f>IF(D23="Senior",Assumptions!$C$24,Assumptions!$C$23)</f>
        <v/>
      </c>
      <c r="G23" s="27">
        <f>Assumptions!$C$25</f>
        <v/>
      </c>
      <c r="H23" s="3" t="inlineStr">
        <is>
          <t>Single source of truth for pipeline, revenue &amp; production KPIs.</t>
        </is>
      </c>
      <c r="I23" s="2" t="n"/>
      <c r="J23" s="2" t="n"/>
      <c r="K23" s="2" t="n"/>
      <c r="L23" s="2" t="n"/>
      <c r="M23" s="2" t="n"/>
      <c r="N23" s="2" t="n"/>
      <c r="O23" s="2" t="n"/>
    </row>
    <row r="24">
      <c r="A24" s="2" t="n">
        <v>20</v>
      </c>
      <c r="B24" s="2" t="inlineStr">
        <is>
          <t>Senior Full-stack Engineer</t>
        </is>
      </c>
      <c r="C24" s="2" t="inlineStr">
        <is>
          <t>Product &amp; Engineering</t>
        </is>
      </c>
      <c r="D24" s="26" t="inlineStr">
        <is>
          <t>Senior</t>
        </is>
      </c>
      <c r="E24" s="26" t="n">
        <v>5</v>
      </c>
      <c r="F24" s="27">
        <f>IF(D24="Senior",Assumptions!$C$24,Assumptions!$C$23)</f>
        <v/>
      </c>
      <c r="G24" s="27">
        <f>Assumptions!$C$25</f>
        <v/>
      </c>
      <c r="H24" s="3" t="inlineStr">
        <is>
          <t>Platform scalability for 2× users by Month 12.</t>
        </is>
      </c>
      <c r="I24" s="2" t="n"/>
      <c r="J24" s="2" t="n"/>
      <c r="K24" s="2" t="n"/>
      <c r="L24" s="2" t="n"/>
      <c r="M24" s="2" t="n"/>
      <c r="N24" s="2" t="n"/>
      <c r="O24" s="2" t="n"/>
    </row>
    <row r="25">
      <c r="A25" s="2" t="n">
        <v>21</v>
      </c>
      <c r="B25" s="2" t="inlineStr">
        <is>
          <t>Implementation Specialist</t>
        </is>
      </c>
      <c r="C25" s="2" t="inlineStr">
        <is>
          <t>Customer Success</t>
        </is>
      </c>
      <c r="D25" s="26" t="inlineStr">
        <is>
          <t>Junior</t>
        </is>
      </c>
      <c r="E25" s="26" t="n">
        <v>5</v>
      </c>
      <c r="F25" s="27">
        <f>IF(D25="Senior",Assumptions!$C$24,Assumptions!$C$23)</f>
        <v/>
      </c>
      <c r="G25" s="27">
        <f>Assumptions!$C$25</f>
        <v/>
      </c>
      <c r="H25" s="3" t="inlineStr">
        <is>
          <t>Faster school go-lives → faster revenue recognition &amp; collection.</t>
        </is>
      </c>
      <c r="I25" s="2" t="n"/>
      <c r="J25" s="2" t="n"/>
      <c r="K25" s="2" t="n"/>
      <c r="L25" s="2" t="n"/>
      <c r="M25" s="2" t="n"/>
      <c r="N25" s="2" t="n"/>
      <c r="O25" s="2" t="n"/>
    </row>
    <row r="26">
      <c r="A26" s="2" t="n">
        <v>22</v>
      </c>
      <c r="B26" s="2" t="inlineStr">
        <is>
          <t>Sound Editor</t>
        </is>
      </c>
      <c r="C26" s="2" t="inlineStr">
        <is>
          <t>Content &amp; Curriculum</t>
        </is>
      </c>
      <c r="D26" s="26" t="inlineStr">
        <is>
          <t>Junior</t>
        </is>
      </c>
      <c r="E26" s="26" t="n">
        <v>5</v>
      </c>
      <c r="F26" s="27">
        <f>IF(D26="Senior",Assumptions!$C$24,Assumptions!$C$23)</f>
        <v/>
      </c>
      <c r="G26" s="27">
        <f>Assumptions!$C$25</f>
        <v/>
      </c>
      <c r="H26" s="3" t="inlineStr">
        <is>
          <t>Removes audio/video sync issues at final stage.</t>
        </is>
      </c>
      <c r="I26" s="2" t="n"/>
      <c r="J26" s="2" t="n"/>
      <c r="K26" s="2" t="n"/>
      <c r="L26" s="2" t="n"/>
      <c r="M26" s="2" t="n"/>
      <c r="N26" s="2" t="n"/>
      <c r="O26" s="2" t="n"/>
    </row>
    <row r="27">
      <c r="A27" s="2" t="n">
        <v>23</v>
      </c>
      <c r="B27" s="2" t="inlineStr">
        <is>
          <t>Legal &amp; Compliance Manager (International)</t>
        </is>
      </c>
      <c r="C27" s="2" t="inlineStr">
        <is>
          <t>Finance, Legal &amp; Ops</t>
        </is>
      </c>
      <c r="D27" s="26" t="inlineStr">
        <is>
          <t>Senior</t>
        </is>
      </c>
      <c r="E27" s="26" t="n">
        <v>6</v>
      </c>
      <c r="F27" s="27">
        <f>IF(D27="Senior",Assumptions!$C$24,Assumptions!$C$23)</f>
        <v/>
      </c>
      <c r="G27" s="27">
        <f>Assumptions!$C$25</f>
        <v/>
      </c>
      <c r="H27" s="3" t="inlineStr">
        <is>
          <t>Entity set-up, data privacy (minors), contracts for international expansion.</t>
        </is>
      </c>
      <c r="I27" s="2" t="n"/>
      <c r="J27" s="2" t="n"/>
      <c r="K27" s="2" t="n"/>
      <c r="L27" s="2" t="n"/>
      <c r="M27" s="2" t="n"/>
      <c r="N27" s="2" t="n"/>
      <c r="O27" s="2" t="n"/>
    </row>
    <row r="28">
      <c r="A28" s="2" t="n">
        <v>24</v>
      </c>
      <c r="B28" s="2" t="inlineStr">
        <is>
          <t>Customer Success Associate</t>
        </is>
      </c>
      <c r="C28" s="2" t="inlineStr">
        <is>
          <t>Customer Success</t>
        </is>
      </c>
      <c r="D28" s="26" t="inlineStr">
        <is>
          <t>Junior</t>
        </is>
      </c>
      <c r="E28" s="26" t="n">
        <v>6</v>
      </c>
      <c r="F28" s="27">
        <f>IF(D28="Senior",Assumptions!$C$24,Assumptions!$C$23)</f>
        <v/>
      </c>
      <c r="G28" s="27">
        <f>Assumptions!$C$25</f>
        <v/>
      </c>
      <c r="H28" s="3" t="inlineStr">
        <is>
          <t>Keeps school onboarding + renewals ahead of customer growth.</t>
        </is>
      </c>
      <c r="I28" s="2" t="n"/>
      <c r="J28" s="2" t="n"/>
      <c r="K28" s="2" t="n"/>
      <c r="L28" s="2" t="n"/>
      <c r="M28" s="2" t="n"/>
      <c r="N28" s="2" t="n"/>
      <c r="O28" s="2" t="n"/>
    </row>
    <row r="29">
      <c r="A29" s="2" t="n">
        <v>25</v>
      </c>
      <c r="B29" s="2" t="inlineStr">
        <is>
          <t>QA / Content Reviewer</t>
        </is>
      </c>
      <c r="C29" s="2" t="inlineStr">
        <is>
          <t>Content &amp; Curriculum</t>
        </is>
      </c>
      <c r="D29" s="26" t="inlineStr">
        <is>
          <t>Junior</t>
        </is>
      </c>
      <c r="E29" s="26" t="n">
        <v>6</v>
      </c>
      <c r="F29" s="27">
        <f>IF(D29="Senior",Assumptions!$C$24,Assumptions!$C$23)</f>
        <v/>
      </c>
      <c r="G29" s="27">
        <f>Assumptions!$C$25</f>
        <v/>
      </c>
      <c r="H29" s="3" t="inlineStr">
        <is>
          <t>Pedagogical QA before release; catches errors before Stage 5.</t>
        </is>
      </c>
      <c r="I29" s="2" t="n"/>
      <c r="J29" s="2" t="n"/>
      <c r="K29" s="2" t="n"/>
      <c r="L29" s="2" t="n"/>
      <c r="M29" s="2" t="n"/>
      <c r="N29" s="2" t="n"/>
      <c r="O29" s="2" t="n"/>
    </row>
    <row r="30">
      <c r="A30" s="28" t="n"/>
      <c r="B30" s="28" t="inlineStr">
        <is>
          <t>Total</t>
        </is>
      </c>
      <c r="C30" s="28" t="n"/>
      <c r="D30" s="28" t="n"/>
      <c r="E30" s="28">
        <f>COUNT(E5:E29)</f>
        <v/>
      </c>
      <c r="F30" s="29">
        <f>SUM(F5:F29)</f>
        <v/>
      </c>
      <c r="G30" s="29">
        <f>SUM(G5:G29)</f>
        <v/>
      </c>
      <c r="H30" s="28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30" t="inlineStr"/>
      <c r="B33" s="31" t="inlineStr">
        <is>
          <t>Month #</t>
        </is>
      </c>
      <c r="C33" s="31" t="n">
        <v>1</v>
      </c>
      <c r="D33" s="31" t="n">
        <v>2</v>
      </c>
      <c r="E33" s="31" t="n">
        <v>3</v>
      </c>
      <c r="F33" s="31" t="n">
        <v>4</v>
      </c>
      <c r="G33" s="31" t="n">
        <v>5</v>
      </c>
      <c r="H33" s="31" t="n">
        <v>6</v>
      </c>
      <c r="I33" s="31" t="n">
        <v>7</v>
      </c>
      <c r="J33" s="31" t="n">
        <v>8</v>
      </c>
      <c r="K33" s="31" t="n">
        <v>9</v>
      </c>
      <c r="L33" s="31" t="n">
        <v>10</v>
      </c>
      <c r="M33" s="31" t="n">
        <v>11</v>
      </c>
      <c r="N33" s="31" t="n">
        <v>12</v>
      </c>
      <c r="O33" s="31" t="inlineStr">
        <is>
          <t>FY total</t>
        </is>
      </c>
    </row>
    <row r="34">
      <c r="A34" s="30" t="inlineStr"/>
      <c r="B34" s="31" t="inlineStr">
        <is>
          <t>Headcount &amp; people cost</t>
        </is>
      </c>
      <c r="C34" s="32">
        <f>EDATE(Assumptions!$C$5,C$33-1)</f>
        <v/>
      </c>
      <c r="D34" s="32">
        <f>EDATE(Assumptions!$C$5,D$33-1)</f>
        <v/>
      </c>
      <c r="E34" s="32">
        <f>EDATE(Assumptions!$C$5,E$33-1)</f>
        <v/>
      </c>
      <c r="F34" s="32">
        <f>EDATE(Assumptions!$C$5,F$33-1)</f>
        <v/>
      </c>
      <c r="G34" s="32">
        <f>EDATE(Assumptions!$C$5,G$33-1)</f>
        <v/>
      </c>
      <c r="H34" s="32">
        <f>EDATE(Assumptions!$C$5,H$33-1)</f>
        <v/>
      </c>
      <c r="I34" s="32">
        <f>EDATE(Assumptions!$C$5,I$33-1)</f>
        <v/>
      </c>
      <c r="J34" s="32">
        <f>EDATE(Assumptions!$C$5,J$33-1)</f>
        <v/>
      </c>
      <c r="K34" s="32">
        <f>EDATE(Assumptions!$C$5,K$33-1)</f>
        <v/>
      </c>
      <c r="L34" s="32">
        <f>EDATE(Assumptions!$C$5,L$33-1)</f>
        <v/>
      </c>
      <c r="M34" s="32">
        <f>EDATE(Assumptions!$C$5,M$33-1)</f>
        <v/>
      </c>
      <c r="N34" s="32">
        <f>EDATE(Assumptions!$C$5,N$33-1)</f>
        <v/>
      </c>
      <c r="O34" s="31" t="n"/>
    </row>
    <row r="35">
      <c r="A35" s="2" t="n"/>
      <c r="B35" s="5" t="inlineStr">
        <is>
          <t>New hires in month</t>
        </is>
      </c>
      <c r="C35" s="33">
        <f>COUNTIF($E$5:$E$29,C$33)</f>
        <v/>
      </c>
      <c r="D35" s="33">
        <f>COUNTIF($E$5:$E$29,D$33)</f>
        <v/>
      </c>
      <c r="E35" s="33">
        <f>COUNTIF($E$5:$E$29,E$33)</f>
        <v/>
      </c>
      <c r="F35" s="33">
        <f>COUNTIF($E$5:$E$29,F$33)</f>
        <v/>
      </c>
      <c r="G35" s="33">
        <f>COUNTIF($E$5:$E$29,G$33)</f>
        <v/>
      </c>
      <c r="H35" s="33">
        <f>COUNTIF($E$5:$E$29,H$33)</f>
        <v/>
      </c>
      <c r="I35" s="33">
        <f>COUNTIF($E$5:$E$29,I$33)</f>
        <v/>
      </c>
      <c r="J35" s="33">
        <f>COUNTIF($E$5:$E$29,J$33)</f>
        <v/>
      </c>
      <c r="K35" s="33">
        <f>COUNTIF($E$5:$E$29,K$33)</f>
        <v/>
      </c>
      <c r="L35" s="33">
        <f>COUNTIF($E$5:$E$29,L$33)</f>
        <v/>
      </c>
      <c r="M35" s="33">
        <f>COUNTIF($E$5:$E$29,M$33)</f>
        <v/>
      </c>
      <c r="N35" s="33">
        <f>COUNTIF($E$5:$E$29,N$33)</f>
        <v/>
      </c>
      <c r="O35" s="34">
        <f>SUM(C35:N35)</f>
        <v/>
      </c>
    </row>
    <row r="36">
      <c r="A36" s="2" t="n"/>
      <c r="B36" s="5" t="inlineStr">
        <is>
          <t xml:space="preserve">   of which junior</t>
        </is>
      </c>
      <c r="C36" s="33">
        <f>COUNTIFS($E$5:$E$29,C$33,$D$5:$D$29,"Junior")</f>
        <v/>
      </c>
      <c r="D36" s="33">
        <f>COUNTIFS($E$5:$E$29,D$33,$D$5:$D$29,"Junior")</f>
        <v/>
      </c>
      <c r="E36" s="33">
        <f>COUNTIFS($E$5:$E$29,E$33,$D$5:$D$29,"Junior")</f>
        <v/>
      </c>
      <c r="F36" s="33">
        <f>COUNTIFS($E$5:$E$29,F$33,$D$5:$D$29,"Junior")</f>
        <v/>
      </c>
      <c r="G36" s="33">
        <f>COUNTIFS($E$5:$E$29,G$33,$D$5:$D$29,"Junior")</f>
        <v/>
      </c>
      <c r="H36" s="33">
        <f>COUNTIFS($E$5:$E$29,H$33,$D$5:$D$29,"Junior")</f>
        <v/>
      </c>
      <c r="I36" s="33">
        <f>COUNTIFS($E$5:$E$29,I$33,$D$5:$D$29,"Junior")</f>
        <v/>
      </c>
      <c r="J36" s="33">
        <f>COUNTIFS($E$5:$E$29,J$33,$D$5:$D$29,"Junior")</f>
        <v/>
      </c>
      <c r="K36" s="33">
        <f>COUNTIFS($E$5:$E$29,K$33,$D$5:$D$29,"Junior")</f>
        <v/>
      </c>
      <c r="L36" s="33">
        <f>COUNTIFS($E$5:$E$29,L$33,$D$5:$D$29,"Junior")</f>
        <v/>
      </c>
      <c r="M36" s="33">
        <f>COUNTIFS($E$5:$E$29,M$33,$D$5:$D$29,"Junior")</f>
        <v/>
      </c>
      <c r="N36" s="33">
        <f>COUNTIFS($E$5:$E$29,N$33,$D$5:$D$29,"Junior")</f>
        <v/>
      </c>
      <c r="O36" s="34">
        <f>SUM(C36:N36)</f>
        <v/>
      </c>
    </row>
    <row r="37">
      <c r="A37" s="2" t="n"/>
      <c r="B37" s="5" t="inlineStr">
        <is>
          <t xml:space="preserve">   of which senior</t>
        </is>
      </c>
      <c r="C37" s="33">
        <f>COUNTIFS($E$5:$E$29,C$33,$D$5:$D$29,"Senior")</f>
        <v/>
      </c>
      <c r="D37" s="33">
        <f>COUNTIFS($E$5:$E$29,D$33,$D$5:$D$29,"Senior")</f>
        <v/>
      </c>
      <c r="E37" s="33">
        <f>COUNTIFS($E$5:$E$29,E$33,$D$5:$D$29,"Senior")</f>
        <v/>
      </c>
      <c r="F37" s="33">
        <f>COUNTIFS($E$5:$E$29,F$33,$D$5:$D$29,"Senior")</f>
        <v/>
      </c>
      <c r="G37" s="33">
        <f>COUNTIFS($E$5:$E$29,G$33,$D$5:$D$29,"Senior")</f>
        <v/>
      </c>
      <c r="H37" s="33">
        <f>COUNTIFS($E$5:$E$29,H$33,$D$5:$D$29,"Senior")</f>
        <v/>
      </c>
      <c r="I37" s="33">
        <f>COUNTIFS($E$5:$E$29,I$33,$D$5:$D$29,"Senior")</f>
        <v/>
      </c>
      <c r="J37" s="33">
        <f>COUNTIFS($E$5:$E$29,J$33,$D$5:$D$29,"Senior")</f>
        <v/>
      </c>
      <c r="K37" s="33">
        <f>COUNTIFS($E$5:$E$29,K$33,$D$5:$D$29,"Senior")</f>
        <v/>
      </c>
      <c r="L37" s="33">
        <f>COUNTIFS($E$5:$E$29,L$33,$D$5:$D$29,"Senior")</f>
        <v/>
      </c>
      <c r="M37" s="33">
        <f>COUNTIFS($E$5:$E$29,M$33,$D$5:$D$29,"Senior")</f>
        <v/>
      </c>
      <c r="N37" s="33">
        <f>COUNTIFS($E$5:$E$29,N$33,$D$5:$D$29,"Senior")</f>
        <v/>
      </c>
      <c r="O37" s="34">
        <f>SUM(C37:N37)</f>
        <v/>
      </c>
    </row>
    <row r="38">
      <c r="A38" s="2" t="n"/>
      <c r="B38" s="5" t="inlineStr">
        <is>
          <t>Junior headcount (end of month)</t>
        </is>
      </c>
      <c r="C38" s="33">
        <f>COUNTIFS($E$5:$E$29,"&lt;="&amp;C$33,$D$5:$D$29,"Junior")</f>
        <v/>
      </c>
      <c r="D38" s="33">
        <f>COUNTIFS($E$5:$E$29,"&lt;="&amp;D$33,$D$5:$D$29,"Junior")</f>
        <v/>
      </c>
      <c r="E38" s="33">
        <f>COUNTIFS($E$5:$E$29,"&lt;="&amp;E$33,$D$5:$D$29,"Junior")</f>
        <v/>
      </c>
      <c r="F38" s="33">
        <f>COUNTIFS($E$5:$E$29,"&lt;="&amp;F$33,$D$5:$D$29,"Junior")</f>
        <v/>
      </c>
      <c r="G38" s="33">
        <f>COUNTIFS($E$5:$E$29,"&lt;="&amp;G$33,$D$5:$D$29,"Junior")</f>
        <v/>
      </c>
      <c r="H38" s="33">
        <f>COUNTIFS($E$5:$E$29,"&lt;="&amp;H$33,$D$5:$D$29,"Junior")</f>
        <v/>
      </c>
      <c r="I38" s="33">
        <f>COUNTIFS($E$5:$E$29,"&lt;="&amp;I$33,$D$5:$D$29,"Junior")</f>
        <v/>
      </c>
      <c r="J38" s="33">
        <f>COUNTIFS($E$5:$E$29,"&lt;="&amp;J$33,$D$5:$D$29,"Junior")</f>
        <v/>
      </c>
      <c r="K38" s="33">
        <f>COUNTIFS($E$5:$E$29,"&lt;="&amp;K$33,$D$5:$D$29,"Junior")</f>
        <v/>
      </c>
      <c r="L38" s="33">
        <f>COUNTIFS($E$5:$E$29,"&lt;="&amp;L$33,$D$5:$D$29,"Junior")</f>
        <v/>
      </c>
      <c r="M38" s="33">
        <f>COUNTIFS($E$5:$E$29,"&lt;="&amp;M$33,$D$5:$D$29,"Junior")</f>
        <v/>
      </c>
      <c r="N38" s="33">
        <f>COUNTIFS($E$5:$E$29,"&lt;="&amp;N$33,$D$5:$D$29,"Junior")</f>
        <v/>
      </c>
      <c r="O38" s="34">
        <f>N38</f>
        <v/>
      </c>
    </row>
    <row r="39">
      <c r="A39" s="2" t="n"/>
      <c r="B39" s="5" t="inlineStr">
        <is>
          <t>Senior headcount (end of month)</t>
        </is>
      </c>
      <c r="C39" s="33">
        <f>COUNTIFS($E$5:$E$29,"&lt;="&amp;C$33,$D$5:$D$29,"Senior")</f>
        <v/>
      </c>
      <c r="D39" s="33">
        <f>COUNTIFS($E$5:$E$29,"&lt;="&amp;D$33,$D$5:$D$29,"Senior")</f>
        <v/>
      </c>
      <c r="E39" s="33">
        <f>COUNTIFS($E$5:$E$29,"&lt;="&amp;E$33,$D$5:$D$29,"Senior")</f>
        <v/>
      </c>
      <c r="F39" s="33">
        <f>COUNTIFS($E$5:$E$29,"&lt;="&amp;F$33,$D$5:$D$29,"Senior")</f>
        <v/>
      </c>
      <c r="G39" s="33">
        <f>COUNTIFS($E$5:$E$29,"&lt;="&amp;G$33,$D$5:$D$29,"Senior")</f>
        <v/>
      </c>
      <c r="H39" s="33">
        <f>COUNTIFS($E$5:$E$29,"&lt;="&amp;H$33,$D$5:$D$29,"Senior")</f>
        <v/>
      </c>
      <c r="I39" s="33">
        <f>COUNTIFS($E$5:$E$29,"&lt;="&amp;I$33,$D$5:$D$29,"Senior")</f>
        <v/>
      </c>
      <c r="J39" s="33">
        <f>COUNTIFS($E$5:$E$29,"&lt;="&amp;J$33,$D$5:$D$29,"Senior")</f>
        <v/>
      </c>
      <c r="K39" s="33">
        <f>COUNTIFS($E$5:$E$29,"&lt;="&amp;K$33,$D$5:$D$29,"Senior")</f>
        <v/>
      </c>
      <c r="L39" s="33">
        <f>COUNTIFS($E$5:$E$29,"&lt;="&amp;L$33,$D$5:$D$29,"Senior")</f>
        <v/>
      </c>
      <c r="M39" s="33">
        <f>COUNTIFS($E$5:$E$29,"&lt;="&amp;M$33,$D$5:$D$29,"Senior")</f>
        <v/>
      </c>
      <c r="N39" s="33">
        <f>COUNTIFS($E$5:$E$29,"&lt;="&amp;N$33,$D$5:$D$29,"Senior")</f>
        <v/>
      </c>
      <c r="O39" s="34">
        <f>N39</f>
        <v/>
      </c>
    </row>
    <row r="40">
      <c r="A40" s="2" t="n"/>
      <c r="B40" s="35" t="inlineStr">
        <is>
          <t>Total new-plan headcount</t>
        </is>
      </c>
      <c r="C40" s="36">
        <f>C38+C39</f>
        <v/>
      </c>
      <c r="D40" s="36">
        <f>D38+D39</f>
        <v/>
      </c>
      <c r="E40" s="36">
        <f>E38+E39</f>
        <v/>
      </c>
      <c r="F40" s="36">
        <f>F38+F39</f>
        <v/>
      </c>
      <c r="G40" s="36">
        <f>G38+G39</f>
        <v/>
      </c>
      <c r="H40" s="36">
        <f>H38+H39</f>
        <v/>
      </c>
      <c r="I40" s="36">
        <f>I38+I39</f>
        <v/>
      </c>
      <c r="J40" s="36">
        <f>J38+J39</f>
        <v/>
      </c>
      <c r="K40" s="36">
        <f>K38+K39</f>
        <v/>
      </c>
      <c r="L40" s="36">
        <f>L38+L39</f>
        <v/>
      </c>
      <c r="M40" s="36">
        <f>M38+M39</f>
        <v/>
      </c>
      <c r="N40" s="36">
        <f>N38+N39</f>
        <v/>
      </c>
      <c r="O40" s="37">
        <f>N40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4" t="inlineStr">
        <is>
          <t>Headcount by function (end of month)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5" t="inlineStr">
        <is>
          <t xml:space="preserve">   Content &amp; Curriculum</t>
        </is>
      </c>
      <c r="C43" s="33">
        <f>COUNTIFS($E$5:$E$29,"&lt;="&amp;C$33,$C$5:$C$29,"Content &amp; Curriculum")</f>
        <v/>
      </c>
      <c r="D43" s="33">
        <f>COUNTIFS($E$5:$E$29,"&lt;="&amp;D$33,$C$5:$C$29,"Content &amp; Curriculum")</f>
        <v/>
      </c>
      <c r="E43" s="33">
        <f>COUNTIFS($E$5:$E$29,"&lt;="&amp;E$33,$C$5:$C$29,"Content &amp; Curriculum")</f>
        <v/>
      </c>
      <c r="F43" s="33">
        <f>COUNTIFS($E$5:$E$29,"&lt;="&amp;F$33,$C$5:$C$29,"Content &amp; Curriculum")</f>
        <v/>
      </c>
      <c r="G43" s="33">
        <f>COUNTIFS($E$5:$E$29,"&lt;="&amp;G$33,$C$5:$C$29,"Content &amp; Curriculum")</f>
        <v/>
      </c>
      <c r="H43" s="33">
        <f>COUNTIFS($E$5:$E$29,"&lt;="&amp;H$33,$C$5:$C$29,"Content &amp; Curriculum")</f>
        <v/>
      </c>
      <c r="I43" s="33">
        <f>COUNTIFS($E$5:$E$29,"&lt;="&amp;I$33,$C$5:$C$29,"Content &amp; Curriculum")</f>
        <v/>
      </c>
      <c r="J43" s="33">
        <f>COUNTIFS($E$5:$E$29,"&lt;="&amp;J$33,$C$5:$C$29,"Content &amp; Curriculum")</f>
        <v/>
      </c>
      <c r="K43" s="33">
        <f>COUNTIFS($E$5:$E$29,"&lt;="&amp;K$33,$C$5:$C$29,"Content &amp; Curriculum")</f>
        <v/>
      </c>
      <c r="L43" s="33">
        <f>COUNTIFS($E$5:$E$29,"&lt;="&amp;L$33,$C$5:$C$29,"Content &amp; Curriculum")</f>
        <v/>
      </c>
      <c r="M43" s="33">
        <f>COUNTIFS($E$5:$E$29,"&lt;="&amp;M$33,$C$5:$C$29,"Content &amp; Curriculum")</f>
        <v/>
      </c>
      <c r="N43" s="33">
        <f>COUNTIFS($E$5:$E$29,"&lt;="&amp;N$33,$C$5:$C$29,"Content &amp; Curriculum")</f>
        <v/>
      </c>
      <c r="O43" s="34">
        <f>N43</f>
        <v/>
      </c>
    </row>
    <row r="44">
      <c r="A44" s="2" t="n"/>
      <c r="B44" s="5" t="inlineStr">
        <is>
          <t xml:space="preserve">   Sales &amp; Partnerships</t>
        </is>
      </c>
      <c r="C44" s="33">
        <f>COUNTIFS($E$5:$E$29,"&lt;="&amp;C$33,$C$5:$C$29,"Sales &amp; Partnerships")</f>
        <v/>
      </c>
      <c r="D44" s="33">
        <f>COUNTIFS($E$5:$E$29,"&lt;="&amp;D$33,$C$5:$C$29,"Sales &amp; Partnerships")</f>
        <v/>
      </c>
      <c r="E44" s="33">
        <f>COUNTIFS($E$5:$E$29,"&lt;="&amp;E$33,$C$5:$C$29,"Sales &amp; Partnerships")</f>
        <v/>
      </c>
      <c r="F44" s="33">
        <f>COUNTIFS($E$5:$E$29,"&lt;="&amp;F$33,$C$5:$C$29,"Sales &amp; Partnerships")</f>
        <v/>
      </c>
      <c r="G44" s="33">
        <f>COUNTIFS($E$5:$E$29,"&lt;="&amp;G$33,$C$5:$C$29,"Sales &amp; Partnerships")</f>
        <v/>
      </c>
      <c r="H44" s="33">
        <f>COUNTIFS($E$5:$E$29,"&lt;="&amp;H$33,$C$5:$C$29,"Sales &amp; Partnerships")</f>
        <v/>
      </c>
      <c r="I44" s="33">
        <f>COUNTIFS($E$5:$E$29,"&lt;="&amp;I$33,$C$5:$C$29,"Sales &amp; Partnerships")</f>
        <v/>
      </c>
      <c r="J44" s="33">
        <f>COUNTIFS($E$5:$E$29,"&lt;="&amp;J$33,$C$5:$C$29,"Sales &amp; Partnerships")</f>
        <v/>
      </c>
      <c r="K44" s="33">
        <f>COUNTIFS($E$5:$E$29,"&lt;="&amp;K$33,$C$5:$C$29,"Sales &amp; Partnerships")</f>
        <v/>
      </c>
      <c r="L44" s="33">
        <f>COUNTIFS($E$5:$E$29,"&lt;="&amp;L$33,$C$5:$C$29,"Sales &amp; Partnerships")</f>
        <v/>
      </c>
      <c r="M44" s="33">
        <f>COUNTIFS($E$5:$E$29,"&lt;="&amp;M$33,$C$5:$C$29,"Sales &amp; Partnerships")</f>
        <v/>
      </c>
      <c r="N44" s="33">
        <f>COUNTIFS($E$5:$E$29,"&lt;="&amp;N$33,$C$5:$C$29,"Sales &amp; Partnerships")</f>
        <v/>
      </c>
      <c r="O44" s="34">
        <f>N44</f>
        <v/>
      </c>
    </row>
    <row r="45">
      <c r="A45" s="2" t="n"/>
      <c r="B45" s="5" t="inlineStr">
        <is>
          <t xml:space="preserve">   Customer Success</t>
        </is>
      </c>
      <c r="C45" s="33">
        <f>COUNTIFS($E$5:$E$29,"&lt;="&amp;C$33,$C$5:$C$29,"Customer Success")</f>
        <v/>
      </c>
      <c r="D45" s="33">
        <f>COUNTIFS($E$5:$E$29,"&lt;="&amp;D$33,$C$5:$C$29,"Customer Success")</f>
        <v/>
      </c>
      <c r="E45" s="33">
        <f>COUNTIFS($E$5:$E$29,"&lt;="&amp;E$33,$C$5:$C$29,"Customer Success")</f>
        <v/>
      </c>
      <c r="F45" s="33">
        <f>COUNTIFS($E$5:$E$29,"&lt;="&amp;F$33,$C$5:$C$29,"Customer Success")</f>
        <v/>
      </c>
      <c r="G45" s="33">
        <f>COUNTIFS($E$5:$E$29,"&lt;="&amp;G$33,$C$5:$C$29,"Customer Success")</f>
        <v/>
      </c>
      <c r="H45" s="33">
        <f>COUNTIFS($E$5:$E$29,"&lt;="&amp;H$33,$C$5:$C$29,"Customer Success")</f>
        <v/>
      </c>
      <c r="I45" s="33">
        <f>COUNTIFS($E$5:$E$29,"&lt;="&amp;I$33,$C$5:$C$29,"Customer Success")</f>
        <v/>
      </c>
      <c r="J45" s="33">
        <f>COUNTIFS($E$5:$E$29,"&lt;="&amp;J$33,$C$5:$C$29,"Customer Success")</f>
        <v/>
      </c>
      <c r="K45" s="33">
        <f>COUNTIFS($E$5:$E$29,"&lt;="&amp;K$33,$C$5:$C$29,"Customer Success")</f>
        <v/>
      </c>
      <c r="L45" s="33">
        <f>COUNTIFS($E$5:$E$29,"&lt;="&amp;L$33,$C$5:$C$29,"Customer Success")</f>
        <v/>
      </c>
      <c r="M45" s="33">
        <f>COUNTIFS($E$5:$E$29,"&lt;="&amp;M$33,$C$5:$C$29,"Customer Success")</f>
        <v/>
      </c>
      <c r="N45" s="33">
        <f>COUNTIFS($E$5:$E$29,"&lt;="&amp;N$33,$C$5:$C$29,"Customer Success")</f>
        <v/>
      </c>
      <c r="O45" s="34">
        <f>N45</f>
        <v/>
      </c>
    </row>
    <row r="46">
      <c r="A46" s="2" t="n"/>
      <c r="B46" s="5" t="inlineStr">
        <is>
          <t xml:space="preserve">   Product &amp; Engineering</t>
        </is>
      </c>
      <c r="C46" s="33">
        <f>COUNTIFS($E$5:$E$29,"&lt;="&amp;C$33,$C$5:$C$29,"Product &amp; Engineering")</f>
        <v/>
      </c>
      <c r="D46" s="33">
        <f>COUNTIFS($E$5:$E$29,"&lt;="&amp;D$33,$C$5:$C$29,"Product &amp; Engineering")</f>
        <v/>
      </c>
      <c r="E46" s="33">
        <f>COUNTIFS($E$5:$E$29,"&lt;="&amp;E$33,$C$5:$C$29,"Product &amp; Engineering")</f>
        <v/>
      </c>
      <c r="F46" s="33">
        <f>COUNTIFS($E$5:$E$29,"&lt;="&amp;F$33,$C$5:$C$29,"Product &amp; Engineering")</f>
        <v/>
      </c>
      <c r="G46" s="33">
        <f>COUNTIFS($E$5:$E$29,"&lt;="&amp;G$33,$C$5:$C$29,"Product &amp; Engineering")</f>
        <v/>
      </c>
      <c r="H46" s="33">
        <f>COUNTIFS($E$5:$E$29,"&lt;="&amp;H$33,$C$5:$C$29,"Product &amp; Engineering")</f>
        <v/>
      </c>
      <c r="I46" s="33">
        <f>COUNTIFS($E$5:$E$29,"&lt;="&amp;I$33,$C$5:$C$29,"Product &amp; Engineering")</f>
        <v/>
      </c>
      <c r="J46" s="33">
        <f>COUNTIFS($E$5:$E$29,"&lt;="&amp;J$33,$C$5:$C$29,"Product &amp; Engineering")</f>
        <v/>
      </c>
      <c r="K46" s="33">
        <f>COUNTIFS($E$5:$E$29,"&lt;="&amp;K$33,$C$5:$C$29,"Product &amp; Engineering")</f>
        <v/>
      </c>
      <c r="L46" s="33">
        <f>COUNTIFS($E$5:$E$29,"&lt;="&amp;L$33,$C$5:$C$29,"Product &amp; Engineering")</f>
        <v/>
      </c>
      <c r="M46" s="33">
        <f>COUNTIFS($E$5:$E$29,"&lt;="&amp;M$33,$C$5:$C$29,"Product &amp; Engineering")</f>
        <v/>
      </c>
      <c r="N46" s="33">
        <f>COUNTIFS($E$5:$E$29,"&lt;="&amp;N$33,$C$5:$C$29,"Product &amp; Engineering")</f>
        <v/>
      </c>
      <c r="O46" s="34">
        <f>N46</f>
        <v/>
      </c>
    </row>
    <row r="47">
      <c r="A47" s="2" t="n"/>
      <c r="B47" s="5" t="inlineStr">
        <is>
          <t xml:space="preserve">   Finance, Legal &amp; Ops</t>
        </is>
      </c>
      <c r="C47" s="33">
        <f>COUNTIFS($E$5:$E$29,"&lt;="&amp;C$33,$C$5:$C$29,"Finance, Legal &amp; Ops")</f>
        <v/>
      </c>
      <c r="D47" s="33">
        <f>COUNTIFS($E$5:$E$29,"&lt;="&amp;D$33,$C$5:$C$29,"Finance, Legal &amp; Ops")</f>
        <v/>
      </c>
      <c r="E47" s="33">
        <f>COUNTIFS($E$5:$E$29,"&lt;="&amp;E$33,$C$5:$C$29,"Finance, Legal &amp; Ops")</f>
        <v/>
      </c>
      <c r="F47" s="33">
        <f>COUNTIFS($E$5:$E$29,"&lt;="&amp;F$33,$C$5:$C$29,"Finance, Legal &amp; Ops")</f>
        <v/>
      </c>
      <c r="G47" s="33">
        <f>COUNTIFS($E$5:$E$29,"&lt;="&amp;G$33,$C$5:$C$29,"Finance, Legal &amp; Ops")</f>
        <v/>
      </c>
      <c r="H47" s="33">
        <f>COUNTIFS($E$5:$E$29,"&lt;="&amp;H$33,$C$5:$C$29,"Finance, Legal &amp; Ops")</f>
        <v/>
      </c>
      <c r="I47" s="33">
        <f>COUNTIFS($E$5:$E$29,"&lt;="&amp;I$33,$C$5:$C$29,"Finance, Legal &amp; Ops")</f>
        <v/>
      </c>
      <c r="J47" s="33">
        <f>COUNTIFS($E$5:$E$29,"&lt;="&amp;J$33,$C$5:$C$29,"Finance, Legal &amp; Ops")</f>
        <v/>
      </c>
      <c r="K47" s="33">
        <f>COUNTIFS($E$5:$E$29,"&lt;="&amp;K$33,$C$5:$C$29,"Finance, Legal &amp; Ops")</f>
        <v/>
      </c>
      <c r="L47" s="33">
        <f>COUNTIFS($E$5:$E$29,"&lt;="&amp;L$33,$C$5:$C$29,"Finance, Legal &amp; Ops")</f>
        <v/>
      </c>
      <c r="M47" s="33">
        <f>COUNTIFS($E$5:$E$29,"&lt;="&amp;M$33,$C$5:$C$29,"Finance, Legal &amp; Ops")</f>
        <v/>
      </c>
      <c r="N47" s="33">
        <f>COUNTIFS($E$5:$E$29,"&lt;="&amp;N$33,$C$5:$C$29,"Finance, Legal &amp; Ops")</f>
        <v/>
      </c>
      <c r="O47" s="34">
        <f>N47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4" t="inlineStr">
        <is>
          <t>People cost (USD)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5" t="inlineStr">
        <is>
          <t>Salaries</t>
        </is>
      </c>
      <c r="C50" s="38">
        <f>SUMIFS($F$5:$F$29,$E$5:$E$29,"&lt;="&amp;C$33)</f>
        <v/>
      </c>
      <c r="D50" s="38">
        <f>SUMIFS($F$5:$F$29,$E$5:$E$29,"&lt;="&amp;D$33)</f>
        <v/>
      </c>
      <c r="E50" s="38">
        <f>SUMIFS($F$5:$F$29,$E$5:$E$29,"&lt;="&amp;E$33)</f>
        <v/>
      </c>
      <c r="F50" s="38">
        <f>SUMIFS($F$5:$F$29,$E$5:$E$29,"&lt;="&amp;F$33)</f>
        <v/>
      </c>
      <c r="G50" s="38">
        <f>SUMIFS($F$5:$F$29,$E$5:$E$29,"&lt;="&amp;G$33)</f>
        <v/>
      </c>
      <c r="H50" s="38">
        <f>SUMIFS($F$5:$F$29,$E$5:$E$29,"&lt;="&amp;H$33)</f>
        <v/>
      </c>
      <c r="I50" s="38">
        <f>SUMIFS($F$5:$F$29,$E$5:$E$29,"&lt;="&amp;I$33)</f>
        <v/>
      </c>
      <c r="J50" s="38">
        <f>SUMIFS($F$5:$F$29,$E$5:$E$29,"&lt;="&amp;J$33)</f>
        <v/>
      </c>
      <c r="K50" s="38">
        <f>SUMIFS($F$5:$F$29,$E$5:$E$29,"&lt;="&amp;K$33)</f>
        <v/>
      </c>
      <c r="L50" s="38">
        <f>SUMIFS($F$5:$F$29,$E$5:$E$29,"&lt;="&amp;L$33)</f>
        <v/>
      </c>
      <c r="M50" s="38">
        <f>SUMIFS($F$5:$F$29,$E$5:$E$29,"&lt;="&amp;M$33)</f>
        <v/>
      </c>
      <c r="N50" s="38">
        <f>SUMIFS($F$5:$F$29,$E$5:$E$29,"&lt;="&amp;N$33)</f>
        <v/>
      </c>
      <c r="O50" s="39">
        <f>SUM(C50:N50)</f>
        <v/>
      </c>
    </row>
    <row r="51">
      <c r="A51" s="2" t="n"/>
      <c r="B51" s="5" t="inlineStr">
        <is>
          <t>Benefits (15% of salary)</t>
        </is>
      </c>
      <c r="C51" s="38">
        <f>C50*Assumptions!$C$26</f>
        <v/>
      </c>
      <c r="D51" s="38">
        <f>D50*Assumptions!$C$26</f>
        <v/>
      </c>
      <c r="E51" s="38">
        <f>E50*Assumptions!$C$26</f>
        <v/>
      </c>
      <c r="F51" s="38">
        <f>F50*Assumptions!$C$26</f>
        <v/>
      </c>
      <c r="G51" s="38">
        <f>G50*Assumptions!$C$26</f>
        <v/>
      </c>
      <c r="H51" s="38">
        <f>H50*Assumptions!$C$26</f>
        <v/>
      </c>
      <c r="I51" s="38">
        <f>I50*Assumptions!$C$26</f>
        <v/>
      </c>
      <c r="J51" s="38">
        <f>J50*Assumptions!$C$26</f>
        <v/>
      </c>
      <c r="K51" s="38">
        <f>K50*Assumptions!$C$26</f>
        <v/>
      </c>
      <c r="L51" s="38">
        <f>L50*Assumptions!$C$26</f>
        <v/>
      </c>
      <c r="M51" s="38">
        <f>M50*Assumptions!$C$26</f>
        <v/>
      </c>
      <c r="N51" s="38">
        <f>N50*Assumptions!$C$26</f>
        <v/>
      </c>
      <c r="O51" s="39">
        <f>SUM(C51:N51)</f>
        <v/>
      </c>
    </row>
    <row r="52">
      <c r="A52" s="2" t="n"/>
      <c r="B52" s="5" t="inlineStr">
        <is>
          <t>One-off hiring costs</t>
        </is>
      </c>
      <c r="C52" s="38">
        <f>C35*Assumptions!$C$25</f>
        <v/>
      </c>
      <c r="D52" s="38">
        <f>D35*Assumptions!$C$25</f>
        <v/>
      </c>
      <c r="E52" s="38">
        <f>E35*Assumptions!$C$25</f>
        <v/>
      </c>
      <c r="F52" s="38">
        <f>F35*Assumptions!$C$25</f>
        <v/>
      </c>
      <c r="G52" s="38">
        <f>G35*Assumptions!$C$25</f>
        <v/>
      </c>
      <c r="H52" s="38">
        <f>H35*Assumptions!$C$25</f>
        <v/>
      </c>
      <c r="I52" s="38">
        <f>I35*Assumptions!$C$25</f>
        <v/>
      </c>
      <c r="J52" s="38">
        <f>J35*Assumptions!$C$25</f>
        <v/>
      </c>
      <c r="K52" s="38">
        <f>K35*Assumptions!$C$25</f>
        <v/>
      </c>
      <c r="L52" s="38">
        <f>L35*Assumptions!$C$25</f>
        <v/>
      </c>
      <c r="M52" s="38">
        <f>M35*Assumptions!$C$25</f>
        <v/>
      </c>
      <c r="N52" s="38">
        <f>N35*Assumptions!$C$25</f>
        <v/>
      </c>
      <c r="O52" s="39">
        <f>SUM(C52:N52)</f>
        <v/>
      </c>
    </row>
    <row r="53">
      <c r="A53" s="2" t="n"/>
      <c r="B53" s="35" t="inlineStr">
        <is>
          <t>Total people cost (P&amp;L)</t>
        </is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  <c r="K53" s="40">
        <f>SUM(K50:K52)</f>
        <v/>
      </c>
      <c r="L53" s="40">
        <f>SUM(L50:L52)</f>
        <v/>
      </c>
      <c r="M53" s="40">
        <f>SUM(M50:M52)</f>
        <v/>
      </c>
      <c r="N53" s="40">
        <f>SUM(N50:N52)</f>
        <v/>
      </c>
      <c r="O53" s="29">
        <f>SUM(C53:N53)</f>
        <v/>
      </c>
    </row>
    <row r="54">
      <c r="A54" s="2" t="n"/>
      <c r="B54" s="5" t="inlineStr">
        <is>
          <t>Equipment capex (cash, capitalised)</t>
        </is>
      </c>
      <c r="C54" s="38">
        <f>C35*Assumptions!$C$27</f>
        <v/>
      </c>
      <c r="D54" s="38">
        <f>D35*Assumptions!$C$27</f>
        <v/>
      </c>
      <c r="E54" s="38">
        <f>E35*Assumptions!$C$27</f>
        <v/>
      </c>
      <c r="F54" s="38">
        <f>F35*Assumptions!$C$27</f>
        <v/>
      </c>
      <c r="G54" s="38">
        <f>G35*Assumptions!$C$27</f>
        <v/>
      </c>
      <c r="H54" s="38">
        <f>H35*Assumptions!$C$27</f>
        <v/>
      </c>
      <c r="I54" s="38">
        <f>I35*Assumptions!$C$27</f>
        <v/>
      </c>
      <c r="J54" s="38">
        <f>J35*Assumptions!$C$27</f>
        <v/>
      </c>
      <c r="K54" s="38">
        <f>K35*Assumptions!$C$27</f>
        <v/>
      </c>
      <c r="L54" s="38">
        <f>L35*Assumptions!$C$27</f>
        <v/>
      </c>
      <c r="M54" s="38">
        <f>M35*Assumptions!$C$27</f>
        <v/>
      </c>
      <c r="N54" s="38">
        <f>N35*Assumptions!$C$27</f>
        <v/>
      </c>
      <c r="O54" s="39">
        <f>SUM(C54:N54)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5" t="inlineStr">
        <is>
          <t>Run-rate monthly cost per head (salary + benefits)</t>
        </is>
      </c>
      <c r="C56" s="38">
        <f>IFERROR((C50+C51)/C40,0)</f>
        <v/>
      </c>
      <c r="D56" s="38">
        <f>IFERROR((D50+D51)/D40,0)</f>
        <v/>
      </c>
      <c r="E56" s="38">
        <f>IFERROR((E50+E51)/E40,0)</f>
        <v/>
      </c>
      <c r="F56" s="38">
        <f>IFERROR((F50+F51)/F40,0)</f>
        <v/>
      </c>
      <c r="G56" s="38">
        <f>IFERROR((G50+G51)/G40,0)</f>
        <v/>
      </c>
      <c r="H56" s="38">
        <f>IFERROR((H50+H51)/H40,0)</f>
        <v/>
      </c>
      <c r="I56" s="38">
        <f>IFERROR((I50+I51)/I40,0)</f>
        <v/>
      </c>
      <c r="J56" s="38">
        <f>IFERROR((J50+J51)/J40,0)</f>
        <v/>
      </c>
      <c r="K56" s="38">
        <f>IFERROR((K50+K51)/K40,0)</f>
        <v/>
      </c>
      <c r="L56" s="38">
        <f>IFERROR((L50+L51)/L40,0)</f>
        <v/>
      </c>
      <c r="M56" s="38">
        <f>IFERROR((M50+M51)/M40,0)</f>
        <v/>
      </c>
      <c r="N56" s="38">
        <f>IFERROR((N50+N51)/N40,0)</f>
        <v/>
      </c>
      <c r="O56" s="39" t="n"/>
    </row>
  </sheetData>
  <mergeCells count="26">
    <mergeCell ref="H20:O20"/>
    <mergeCell ref="H26:O26"/>
    <mergeCell ref="H29:O29"/>
    <mergeCell ref="H10:O10"/>
    <mergeCell ref="H4:O4"/>
    <mergeCell ref="H9:O9"/>
    <mergeCell ref="H25:O25"/>
    <mergeCell ref="H21:O21"/>
    <mergeCell ref="H6:O6"/>
    <mergeCell ref="H17:O17"/>
    <mergeCell ref="H11:O11"/>
    <mergeCell ref="H7:O7"/>
    <mergeCell ref="H16:O16"/>
    <mergeCell ref="H22:O22"/>
    <mergeCell ref="H28:O28"/>
    <mergeCell ref="H19:O19"/>
    <mergeCell ref="H13:O13"/>
    <mergeCell ref="H27:O27"/>
    <mergeCell ref="H12:O12"/>
    <mergeCell ref="H15:O15"/>
    <mergeCell ref="H24:O24"/>
    <mergeCell ref="H18:O18"/>
    <mergeCell ref="H14:O14"/>
    <mergeCell ref="H5:O5"/>
    <mergeCell ref="H23:O23"/>
    <mergeCell ref="H8:O8"/>
  </mergeCells>
  <dataValidations count="2">
    <dataValidation sqref="D5:D29" showDropDown="0" showInputMessage="0" showErrorMessage="0" allowBlank="0" type="list">
      <formula1>"Junior,Senior"</formula1>
    </dataValidation>
    <dataValidation sqref="E5:E29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Monthly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Scenario and loan treatment follow the controls on the Assumptions tab (shown in row 3).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1">
        <f>"Scenario: "&amp;Assumptions!$D$6&amp;"  |  "&amp;Assumptions!$D$7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30" t="inlineStr">
        <is>
          <t>Month #</t>
        </is>
      </c>
      <c r="B4" s="31" t="n"/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inlineStr">
        <is>
          <t>FY total</t>
        </is>
      </c>
    </row>
    <row r="5">
      <c r="A5" s="30" t="inlineStr">
        <is>
          <t>USD unless stated</t>
        </is>
      </c>
      <c r="B5" s="31" t="n"/>
      <c r="C5" s="32">
        <f>EDATE(Assumptions!$C$5,C$4-1)</f>
        <v/>
      </c>
      <c r="D5" s="32">
        <f>EDATE(Assumptions!$C$5,D$4-1)</f>
        <v/>
      </c>
      <c r="E5" s="32">
        <f>EDATE(Assumptions!$C$5,E$4-1)</f>
        <v/>
      </c>
      <c r="F5" s="32">
        <f>EDATE(Assumptions!$C$5,F$4-1)</f>
        <v/>
      </c>
      <c r="G5" s="32">
        <f>EDATE(Assumptions!$C$5,G$4-1)</f>
        <v/>
      </c>
      <c r="H5" s="32">
        <f>EDATE(Assumptions!$C$5,H$4-1)</f>
        <v/>
      </c>
      <c r="I5" s="32">
        <f>EDATE(Assumptions!$C$5,I$4-1)</f>
        <v/>
      </c>
      <c r="J5" s="32">
        <f>EDATE(Assumptions!$C$5,J$4-1)</f>
        <v/>
      </c>
      <c r="K5" s="32">
        <f>EDATE(Assumptions!$C$5,K$4-1)</f>
        <v/>
      </c>
      <c r="L5" s="32">
        <f>EDATE(Assumptions!$C$5,L$4-1)</f>
        <v/>
      </c>
      <c r="M5" s="32">
        <f>EDATE(Assumptions!$C$5,M$4-1)</f>
        <v/>
      </c>
      <c r="N5" s="32">
        <f>EDATE(Assumptions!$C$5,N$4-1)</f>
        <v/>
      </c>
      <c r="O5" s="31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42" t="inlineStr">
        <is>
          <t>Revenue &amp; gross margin</t>
        </is>
      </c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</row>
    <row r="8">
      <c r="A8" s="17" t="inlineStr">
        <is>
          <t>Revenue</t>
        </is>
      </c>
      <c r="B8" s="2" t="n"/>
      <c r="C8" s="21">
        <f>Assumptions!$C$20*(1+Assumptions!$C$12)^(C$4-1)</f>
        <v/>
      </c>
      <c r="D8" s="21">
        <f>Assumptions!$C$20*(1+Assumptions!$C$12)^(D$4-1)</f>
        <v/>
      </c>
      <c r="E8" s="21">
        <f>Assumptions!$C$20*(1+Assumptions!$C$12)^(E$4-1)</f>
        <v/>
      </c>
      <c r="F8" s="21">
        <f>Assumptions!$C$20*(1+Assumptions!$C$12)^(F$4-1)</f>
        <v/>
      </c>
      <c r="G8" s="21">
        <f>Assumptions!$C$20*(1+Assumptions!$C$12)^(G$4-1)</f>
        <v/>
      </c>
      <c r="H8" s="21">
        <f>Assumptions!$C$20*(1+Assumptions!$C$12)^(H$4-1)</f>
        <v/>
      </c>
      <c r="I8" s="21">
        <f>Assumptions!$C$20*(1+Assumptions!$C$12)^(I$4-1)</f>
        <v/>
      </c>
      <c r="J8" s="21">
        <f>Assumptions!$C$20*(1+Assumptions!$C$12)^(J$4-1)</f>
        <v/>
      </c>
      <c r="K8" s="21">
        <f>Assumptions!$C$20*(1+Assumptions!$C$12)^(K$4-1)</f>
        <v/>
      </c>
      <c r="L8" s="21">
        <f>Assumptions!$C$20*(1+Assumptions!$C$12)^(L$4-1)</f>
        <v/>
      </c>
      <c r="M8" s="21">
        <f>Assumptions!$C$20*(1+Assumptions!$C$12)^(M$4-1)</f>
        <v/>
      </c>
      <c r="N8" s="21">
        <f>Assumptions!$C$20*(1+Assumptions!$C$12)^(N$4-1)</f>
        <v/>
      </c>
      <c r="O8" s="39">
        <f>SUM(C8:N8)</f>
        <v/>
      </c>
    </row>
    <row r="9">
      <c r="A9" s="5" t="inlineStr">
        <is>
          <t xml:space="preserve">   MoM growth</t>
        </is>
      </c>
      <c r="B9" s="2" t="n"/>
      <c r="C9" s="43">
        <f>IF(C$4=1,0,C8/None8-1)</f>
        <v/>
      </c>
      <c r="D9" s="43">
        <f>IF(D$4=1,0,D8/C8-1)</f>
        <v/>
      </c>
      <c r="E9" s="43">
        <f>IF(E$4=1,0,E8/D8-1)</f>
        <v/>
      </c>
      <c r="F9" s="43">
        <f>IF(F$4=1,0,F8/E8-1)</f>
        <v/>
      </c>
      <c r="G9" s="43">
        <f>IF(G$4=1,0,G8/F8-1)</f>
        <v/>
      </c>
      <c r="H9" s="43">
        <f>IF(H$4=1,0,H8/G8-1)</f>
        <v/>
      </c>
      <c r="I9" s="43">
        <f>IF(I$4=1,0,I8/H8-1)</f>
        <v/>
      </c>
      <c r="J9" s="43">
        <f>IF(J$4=1,0,J8/I8-1)</f>
        <v/>
      </c>
      <c r="K9" s="43">
        <f>IF(K$4=1,0,K8/J8-1)</f>
        <v/>
      </c>
      <c r="L9" s="43">
        <f>IF(L$4=1,0,L8/K8-1)</f>
        <v/>
      </c>
      <c r="M9" s="43">
        <f>IF(M$4=1,0,M8/L8-1)</f>
        <v/>
      </c>
      <c r="N9" s="43">
        <f>IF(N$4=1,0,N8/M8-1)</f>
        <v/>
      </c>
      <c r="O9" s="44" t="n"/>
    </row>
    <row r="10">
      <c r="A10" s="5" t="inlineStr">
        <is>
          <t xml:space="preserve">   Gross margin %</t>
        </is>
      </c>
      <c r="B10" s="2" t="n"/>
      <c r="C10" s="43">
        <f>Assumptions!$C$13+(Assumptions!$C$14-Assumptions!$C$13)*(C$4-1)/11</f>
        <v/>
      </c>
      <c r="D10" s="43">
        <f>Assumptions!$C$13+(Assumptions!$C$14-Assumptions!$C$13)*(D$4-1)/11</f>
        <v/>
      </c>
      <c r="E10" s="43">
        <f>Assumptions!$C$13+(Assumptions!$C$14-Assumptions!$C$13)*(E$4-1)/11</f>
        <v/>
      </c>
      <c r="F10" s="43">
        <f>Assumptions!$C$13+(Assumptions!$C$14-Assumptions!$C$13)*(F$4-1)/11</f>
        <v/>
      </c>
      <c r="G10" s="43">
        <f>Assumptions!$C$13+(Assumptions!$C$14-Assumptions!$C$13)*(G$4-1)/11</f>
        <v/>
      </c>
      <c r="H10" s="43">
        <f>Assumptions!$C$13+(Assumptions!$C$14-Assumptions!$C$13)*(H$4-1)/11</f>
        <v/>
      </c>
      <c r="I10" s="43">
        <f>Assumptions!$C$13+(Assumptions!$C$14-Assumptions!$C$13)*(I$4-1)/11</f>
        <v/>
      </c>
      <c r="J10" s="43">
        <f>Assumptions!$C$13+(Assumptions!$C$14-Assumptions!$C$13)*(J$4-1)/11</f>
        <v/>
      </c>
      <c r="K10" s="43">
        <f>Assumptions!$C$13+(Assumptions!$C$14-Assumptions!$C$13)*(K$4-1)/11</f>
        <v/>
      </c>
      <c r="L10" s="43">
        <f>Assumptions!$C$13+(Assumptions!$C$14-Assumptions!$C$13)*(L$4-1)/11</f>
        <v/>
      </c>
      <c r="M10" s="43">
        <f>Assumptions!$C$13+(Assumptions!$C$14-Assumptions!$C$13)*(M$4-1)/11</f>
        <v/>
      </c>
      <c r="N10" s="43">
        <f>Assumptions!$C$13+(Assumptions!$C$14-Assumptions!$C$13)*(N$4-1)/11</f>
        <v/>
      </c>
      <c r="O10" s="44">
        <f>O12/O8</f>
        <v/>
      </c>
    </row>
    <row r="11">
      <c r="A11" s="5" t="inlineStr">
        <is>
          <t>Cost of revenue (COGS)</t>
        </is>
      </c>
      <c r="B11" s="2" t="n"/>
      <c r="C11" s="38">
        <f>-C8*(1-C10)</f>
        <v/>
      </c>
      <c r="D11" s="38">
        <f>-D8*(1-D10)</f>
        <v/>
      </c>
      <c r="E11" s="38">
        <f>-E8*(1-E10)</f>
        <v/>
      </c>
      <c r="F11" s="38">
        <f>-F8*(1-F10)</f>
        <v/>
      </c>
      <c r="G11" s="38">
        <f>-G8*(1-G10)</f>
        <v/>
      </c>
      <c r="H11" s="38">
        <f>-H8*(1-H10)</f>
        <v/>
      </c>
      <c r="I11" s="38">
        <f>-I8*(1-I10)</f>
        <v/>
      </c>
      <c r="J11" s="38">
        <f>-J8*(1-J10)</f>
        <v/>
      </c>
      <c r="K11" s="38">
        <f>-K8*(1-K10)</f>
        <v/>
      </c>
      <c r="L11" s="38">
        <f>-L8*(1-L10)</f>
        <v/>
      </c>
      <c r="M11" s="38">
        <f>-M8*(1-M10)</f>
        <v/>
      </c>
      <c r="N11" s="38">
        <f>-N8*(1-N10)</f>
        <v/>
      </c>
      <c r="O11" s="39">
        <f>SUM(C11:N11)</f>
        <v/>
      </c>
    </row>
    <row r="12">
      <c r="A12" s="35" t="inlineStr">
        <is>
          <t>Gross profit</t>
        </is>
      </c>
      <c r="B12" s="45" t="n"/>
      <c r="C12" s="40">
        <f>C8+C11</f>
        <v/>
      </c>
      <c r="D12" s="40">
        <f>D8+D11</f>
        <v/>
      </c>
      <c r="E12" s="40">
        <f>E8+E11</f>
        <v/>
      </c>
      <c r="F12" s="40">
        <f>F8+F11</f>
        <v/>
      </c>
      <c r="G12" s="40">
        <f>G8+G11</f>
        <v/>
      </c>
      <c r="H12" s="40">
        <f>H8+H11</f>
        <v/>
      </c>
      <c r="I12" s="40">
        <f>I8+I11</f>
        <v/>
      </c>
      <c r="J12" s="40">
        <f>J8+J11</f>
        <v/>
      </c>
      <c r="K12" s="40">
        <f>K8+K11</f>
        <v/>
      </c>
      <c r="L12" s="40">
        <f>L8+L11</f>
        <v/>
      </c>
      <c r="M12" s="40">
        <f>M8+M11</f>
        <v/>
      </c>
      <c r="N12" s="40">
        <f>N8+N11</f>
        <v/>
      </c>
      <c r="O12" s="29">
        <f>SUM(C12:N12)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42" t="inlineStr">
        <is>
          <t>Operating expenses</t>
        </is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</row>
    <row r="15">
      <c r="A15" s="5" t="inlineStr">
        <is>
          <t>Salaries (new hires)</t>
        </is>
      </c>
      <c r="B15" s="2" t="n"/>
      <c r="C15" s="38">
        <f>-Headcount!C50</f>
        <v/>
      </c>
      <c r="D15" s="38">
        <f>-Headcount!D50</f>
        <v/>
      </c>
      <c r="E15" s="38">
        <f>-Headcount!E50</f>
        <v/>
      </c>
      <c r="F15" s="38">
        <f>-Headcount!F50</f>
        <v/>
      </c>
      <c r="G15" s="38">
        <f>-Headcount!G50</f>
        <v/>
      </c>
      <c r="H15" s="38">
        <f>-Headcount!H50</f>
        <v/>
      </c>
      <c r="I15" s="38">
        <f>-Headcount!I50</f>
        <v/>
      </c>
      <c r="J15" s="38">
        <f>-Headcount!J50</f>
        <v/>
      </c>
      <c r="K15" s="38">
        <f>-Headcount!K50</f>
        <v/>
      </c>
      <c r="L15" s="38">
        <f>-Headcount!L50</f>
        <v/>
      </c>
      <c r="M15" s="38">
        <f>-Headcount!M50</f>
        <v/>
      </c>
      <c r="N15" s="38">
        <f>-Headcount!N50</f>
        <v/>
      </c>
      <c r="O15" s="39">
        <f>SUM(C15:N15)</f>
        <v/>
      </c>
    </row>
    <row r="16">
      <c r="A16" s="5" t="inlineStr">
        <is>
          <t>Benefits (15% of salary)</t>
        </is>
      </c>
      <c r="B16" s="2" t="n"/>
      <c r="C16" s="38">
        <f>-Headcount!C51</f>
        <v/>
      </c>
      <c r="D16" s="38">
        <f>-Headcount!D51</f>
        <v/>
      </c>
      <c r="E16" s="38">
        <f>-Headcount!E51</f>
        <v/>
      </c>
      <c r="F16" s="38">
        <f>-Headcount!F51</f>
        <v/>
      </c>
      <c r="G16" s="38">
        <f>-Headcount!G51</f>
        <v/>
      </c>
      <c r="H16" s="38">
        <f>-Headcount!H51</f>
        <v/>
      </c>
      <c r="I16" s="38">
        <f>-Headcount!I51</f>
        <v/>
      </c>
      <c r="J16" s="38">
        <f>-Headcount!J51</f>
        <v/>
      </c>
      <c r="K16" s="38">
        <f>-Headcount!K51</f>
        <v/>
      </c>
      <c r="L16" s="38">
        <f>-Headcount!L51</f>
        <v/>
      </c>
      <c r="M16" s="38">
        <f>-Headcount!M51</f>
        <v/>
      </c>
      <c r="N16" s="38">
        <f>-Headcount!N51</f>
        <v/>
      </c>
      <c r="O16" s="39">
        <f>SUM(C16:N16)</f>
        <v/>
      </c>
    </row>
    <row r="17">
      <c r="A17" s="5" t="inlineStr">
        <is>
          <t>Hiring costs (one-off, $6k per hire)</t>
        </is>
      </c>
      <c r="B17" s="2" t="n"/>
      <c r="C17" s="38">
        <f>-Headcount!C52</f>
        <v/>
      </c>
      <c r="D17" s="38">
        <f>-Headcount!D52</f>
        <v/>
      </c>
      <c r="E17" s="38">
        <f>-Headcount!E52</f>
        <v/>
      </c>
      <c r="F17" s="38">
        <f>-Headcount!F52</f>
        <v/>
      </c>
      <c r="G17" s="38">
        <f>-Headcount!G52</f>
        <v/>
      </c>
      <c r="H17" s="38">
        <f>-Headcount!H52</f>
        <v/>
      </c>
      <c r="I17" s="38">
        <f>-Headcount!I52</f>
        <v/>
      </c>
      <c r="J17" s="38">
        <f>-Headcount!J52</f>
        <v/>
      </c>
      <c r="K17" s="38">
        <f>-Headcount!K52</f>
        <v/>
      </c>
      <c r="L17" s="38">
        <f>-Headcount!L52</f>
        <v/>
      </c>
      <c r="M17" s="38">
        <f>-Headcount!M52</f>
        <v/>
      </c>
      <c r="N17" s="38">
        <f>-Headcount!N52</f>
        <v/>
      </c>
      <c r="O17" s="39">
        <f>SUM(C17:N17)</f>
        <v/>
      </c>
    </row>
    <row r="18">
      <c r="A18" s="5" t="inlineStr">
        <is>
          <t>Overhead (+15% linear over 12m)</t>
        </is>
      </c>
      <c r="B18" s="2" t="n"/>
      <c r="C18" s="38">
        <f>-Assumptions!$C$32*(1+Assumptions!$C$33*(C$4-1)/11)</f>
        <v/>
      </c>
      <c r="D18" s="38">
        <f>-Assumptions!$C$32*(1+Assumptions!$C$33*(D$4-1)/11)</f>
        <v/>
      </c>
      <c r="E18" s="38">
        <f>-Assumptions!$C$32*(1+Assumptions!$C$33*(E$4-1)/11)</f>
        <v/>
      </c>
      <c r="F18" s="38">
        <f>-Assumptions!$C$32*(1+Assumptions!$C$33*(F$4-1)/11)</f>
        <v/>
      </c>
      <c r="G18" s="38">
        <f>-Assumptions!$C$32*(1+Assumptions!$C$33*(G$4-1)/11)</f>
        <v/>
      </c>
      <c r="H18" s="38">
        <f>-Assumptions!$C$32*(1+Assumptions!$C$33*(H$4-1)/11)</f>
        <v/>
      </c>
      <c r="I18" s="38">
        <f>-Assumptions!$C$32*(1+Assumptions!$C$33*(I$4-1)/11)</f>
        <v/>
      </c>
      <c r="J18" s="38">
        <f>-Assumptions!$C$32*(1+Assumptions!$C$33*(J$4-1)/11)</f>
        <v/>
      </c>
      <c r="K18" s="38">
        <f>-Assumptions!$C$32*(1+Assumptions!$C$33*(K$4-1)/11)</f>
        <v/>
      </c>
      <c r="L18" s="38">
        <f>-Assumptions!$C$32*(1+Assumptions!$C$33*(L$4-1)/11)</f>
        <v/>
      </c>
      <c r="M18" s="38">
        <f>-Assumptions!$C$32*(1+Assumptions!$C$33*(M$4-1)/11)</f>
        <v/>
      </c>
      <c r="N18" s="38">
        <f>-Assumptions!$C$32*(1+Assumptions!$C$33*(N$4-1)/11)</f>
        <v/>
      </c>
      <c r="O18" s="39">
        <f>SUM(C18:N18)</f>
        <v/>
      </c>
    </row>
    <row r="19">
      <c r="A19" s="5" t="inlineStr">
        <is>
          <t>G&amp;A / Legal</t>
        </is>
      </c>
      <c r="B19" s="2" t="n"/>
      <c r="C19" s="38">
        <f>-Assumptions!$C$34</f>
        <v/>
      </c>
      <c r="D19" s="38">
        <f>-Assumptions!$C$34</f>
        <v/>
      </c>
      <c r="E19" s="38">
        <f>-Assumptions!$C$34</f>
        <v/>
      </c>
      <c r="F19" s="38">
        <f>-Assumptions!$C$34</f>
        <v/>
      </c>
      <c r="G19" s="38">
        <f>-Assumptions!$C$34</f>
        <v/>
      </c>
      <c r="H19" s="38">
        <f>-Assumptions!$C$34</f>
        <v/>
      </c>
      <c r="I19" s="38">
        <f>-Assumptions!$C$34</f>
        <v/>
      </c>
      <c r="J19" s="38">
        <f>-Assumptions!$C$34</f>
        <v/>
      </c>
      <c r="K19" s="38">
        <f>-Assumptions!$C$34</f>
        <v/>
      </c>
      <c r="L19" s="38">
        <f>-Assumptions!$C$34</f>
        <v/>
      </c>
      <c r="M19" s="38">
        <f>-Assumptions!$C$34</f>
        <v/>
      </c>
      <c r="N19" s="38">
        <f>-Assumptions!$C$34</f>
        <v/>
      </c>
      <c r="O19" s="39">
        <f>SUM(C19:N19)</f>
        <v/>
      </c>
    </row>
    <row r="20">
      <c r="A20" s="5" t="inlineStr">
        <is>
          <t>Existing run-rate opex (Stress scenario only)</t>
        </is>
      </c>
      <c r="B20" s="2" t="n"/>
      <c r="C20" s="38">
        <f>-Assumptions!$C$16</f>
        <v/>
      </c>
      <c r="D20" s="38">
        <f>-Assumptions!$C$16</f>
        <v/>
      </c>
      <c r="E20" s="38">
        <f>-Assumptions!$C$16</f>
        <v/>
      </c>
      <c r="F20" s="38">
        <f>-Assumptions!$C$16</f>
        <v/>
      </c>
      <c r="G20" s="38">
        <f>-Assumptions!$C$16</f>
        <v/>
      </c>
      <c r="H20" s="38">
        <f>-Assumptions!$C$16</f>
        <v/>
      </c>
      <c r="I20" s="38">
        <f>-Assumptions!$C$16</f>
        <v/>
      </c>
      <c r="J20" s="38">
        <f>-Assumptions!$C$16</f>
        <v/>
      </c>
      <c r="K20" s="38">
        <f>-Assumptions!$C$16</f>
        <v/>
      </c>
      <c r="L20" s="38">
        <f>-Assumptions!$C$16</f>
        <v/>
      </c>
      <c r="M20" s="38">
        <f>-Assumptions!$C$16</f>
        <v/>
      </c>
      <c r="N20" s="38">
        <f>-Assumptions!$C$16</f>
        <v/>
      </c>
      <c r="O20" s="39">
        <f>SUM(C20:N20)</f>
        <v/>
      </c>
    </row>
    <row r="21">
      <c r="A21" s="35" t="inlineStr">
        <is>
          <t>Total operating expenses</t>
        </is>
      </c>
      <c r="B21" s="45" t="n"/>
      <c r="C21" s="40">
        <f>SUM(C15:C20)</f>
        <v/>
      </c>
      <c r="D21" s="40">
        <f>SUM(D15:D20)</f>
        <v/>
      </c>
      <c r="E21" s="40">
        <f>SUM(E15:E20)</f>
        <v/>
      </c>
      <c r="F21" s="40">
        <f>SUM(F15:F20)</f>
        <v/>
      </c>
      <c r="G21" s="40">
        <f>SUM(G15:G20)</f>
        <v/>
      </c>
      <c r="H21" s="40">
        <f>SUM(H15:H20)</f>
        <v/>
      </c>
      <c r="I21" s="40">
        <f>SUM(I15:I20)</f>
        <v/>
      </c>
      <c r="J21" s="40">
        <f>SUM(J15:J20)</f>
        <v/>
      </c>
      <c r="K21" s="40">
        <f>SUM(K15:K20)</f>
        <v/>
      </c>
      <c r="L21" s="40">
        <f>SUM(L15:L20)</f>
        <v/>
      </c>
      <c r="M21" s="40">
        <f>SUM(M15:M20)</f>
        <v/>
      </c>
      <c r="N21" s="40">
        <f>SUM(N15:N20)</f>
        <v/>
      </c>
      <c r="O21" s="29">
        <f>SUM(C21:N21)</f>
        <v/>
      </c>
    </row>
    <row r="22">
      <c r="A22" s="5" t="inlineStr">
        <is>
          <t xml:space="preserve">   Opex as % of revenue</t>
        </is>
      </c>
      <c r="B22" s="2" t="n"/>
      <c r="C22" s="43">
        <f>-C21/C8</f>
        <v/>
      </c>
      <c r="D22" s="43">
        <f>-D21/D8</f>
        <v/>
      </c>
      <c r="E22" s="43">
        <f>-E21/E8</f>
        <v/>
      </c>
      <c r="F22" s="43">
        <f>-F21/F8</f>
        <v/>
      </c>
      <c r="G22" s="43">
        <f>-G21/G8</f>
        <v/>
      </c>
      <c r="H22" s="43">
        <f>-H21/H8</f>
        <v/>
      </c>
      <c r="I22" s="43">
        <f>-I21/I8</f>
        <v/>
      </c>
      <c r="J22" s="43">
        <f>-J21/J8</f>
        <v/>
      </c>
      <c r="K22" s="43">
        <f>-K21/K8</f>
        <v/>
      </c>
      <c r="L22" s="43">
        <f>-L21/L8</f>
        <v/>
      </c>
      <c r="M22" s="43">
        <f>-M21/M8</f>
        <v/>
      </c>
      <c r="N22" s="43">
        <f>-N21/N8</f>
        <v/>
      </c>
      <c r="O22" s="44">
        <f>-O21/O8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35" t="inlineStr">
        <is>
          <t>EBITDA</t>
        </is>
      </c>
      <c r="B24" s="45" t="n"/>
      <c r="C24" s="40">
        <f>C12+C21</f>
        <v/>
      </c>
      <c r="D24" s="40">
        <f>D12+D21</f>
        <v/>
      </c>
      <c r="E24" s="40">
        <f>E12+E21</f>
        <v/>
      </c>
      <c r="F24" s="40">
        <f>F12+F21</f>
        <v/>
      </c>
      <c r="G24" s="40">
        <f>G12+G21</f>
        <v/>
      </c>
      <c r="H24" s="40">
        <f>H12+H21</f>
        <v/>
      </c>
      <c r="I24" s="40">
        <f>I12+I21</f>
        <v/>
      </c>
      <c r="J24" s="40">
        <f>J12+J21</f>
        <v/>
      </c>
      <c r="K24" s="40">
        <f>K12+K21</f>
        <v/>
      </c>
      <c r="L24" s="40">
        <f>L12+L21</f>
        <v/>
      </c>
      <c r="M24" s="40">
        <f>M12+M21</f>
        <v/>
      </c>
      <c r="N24" s="40">
        <f>N12+N21</f>
        <v/>
      </c>
      <c r="O24" s="29">
        <f>SUM(C24:N24)</f>
        <v/>
      </c>
    </row>
    <row r="25">
      <c r="A25" s="5" t="inlineStr">
        <is>
          <t xml:space="preserve">   EBITDA margin</t>
        </is>
      </c>
      <c r="B25" s="2" t="n"/>
      <c r="C25" s="43">
        <f>C24/C8</f>
        <v/>
      </c>
      <c r="D25" s="43">
        <f>D24/D8</f>
        <v/>
      </c>
      <c r="E25" s="43">
        <f>E24/E8</f>
        <v/>
      </c>
      <c r="F25" s="43">
        <f>F24/F8</f>
        <v/>
      </c>
      <c r="G25" s="43">
        <f>G24/G8</f>
        <v/>
      </c>
      <c r="H25" s="43">
        <f>H24/H8</f>
        <v/>
      </c>
      <c r="I25" s="43">
        <f>I24/I8</f>
        <v/>
      </c>
      <c r="J25" s="43">
        <f>J24/J8</f>
        <v/>
      </c>
      <c r="K25" s="43">
        <f>K24/K8</f>
        <v/>
      </c>
      <c r="L25" s="43">
        <f>L24/L8</f>
        <v/>
      </c>
      <c r="M25" s="43">
        <f>M24/M8</f>
        <v/>
      </c>
      <c r="N25" s="43">
        <f>N24/N8</f>
        <v/>
      </c>
      <c r="O25" s="44">
        <f>O24/O8</f>
        <v/>
      </c>
    </row>
    <row r="26">
      <c r="A26" s="5" t="inlineStr">
        <is>
          <t>Depreciation (equipment)</t>
        </is>
      </c>
      <c r="B26" s="2" t="n"/>
      <c r="C26" s="38">
        <f>-SUM(Headcount!$C54:Headcount!C54)/Assumptions!$C$28</f>
        <v/>
      </c>
      <c r="D26" s="38">
        <f>-SUM(Headcount!$C54:Headcount!D54)/Assumptions!$C$28</f>
        <v/>
      </c>
      <c r="E26" s="38">
        <f>-SUM(Headcount!$C54:Headcount!E54)/Assumptions!$C$28</f>
        <v/>
      </c>
      <c r="F26" s="38">
        <f>-SUM(Headcount!$C54:Headcount!F54)/Assumptions!$C$28</f>
        <v/>
      </c>
      <c r="G26" s="38">
        <f>-SUM(Headcount!$C54:Headcount!G54)/Assumptions!$C$28</f>
        <v/>
      </c>
      <c r="H26" s="38">
        <f>-SUM(Headcount!$C54:Headcount!H54)/Assumptions!$C$28</f>
        <v/>
      </c>
      <c r="I26" s="38">
        <f>-SUM(Headcount!$C54:Headcount!I54)/Assumptions!$C$28</f>
        <v/>
      </c>
      <c r="J26" s="38">
        <f>-SUM(Headcount!$C54:Headcount!J54)/Assumptions!$C$28</f>
        <v/>
      </c>
      <c r="K26" s="38">
        <f>-SUM(Headcount!$C54:Headcount!K54)/Assumptions!$C$28</f>
        <v/>
      </c>
      <c r="L26" s="38">
        <f>-SUM(Headcount!$C54:Headcount!L54)/Assumptions!$C$28</f>
        <v/>
      </c>
      <c r="M26" s="38">
        <f>-SUM(Headcount!$C54:Headcount!M54)/Assumptions!$C$28</f>
        <v/>
      </c>
      <c r="N26" s="38">
        <f>-SUM(Headcount!$C54:Headcount!N54)/Assumptions!$C$28</f>
        <v/>
      </c>
      <c r="O26" s="39">
        <f>SUM(C26:N26)</f>
        <v/>
      </c>
    </row>
    <row r="27">
      <c r="A27" s="35" t="inlineStr">
        <is>
          <t>EBIT (operating profit)</t>
        </is>
      </c>
      <c r="B27" s="45" t="n"/>
      <c r="C27" s="40">
        <f>C24+C26</f>
        <v/>
      </c>
      <c r="D27" s="40">
        <f>D24+D26</f>
        <v/>
      </c>
      <c r="E27" s="40">
        <f>E24+E26</f>
        <v/>
      </c>
      <c r="F27" s="40">
        <f>F24+F26</f>
        <v/>
      </c>
      <c r="G27" s="40">
        <f>G24+G26</f>
        <v/>
      </c>
      <c r="H27" s="40">
        <f>H24+H26</f>
        <v/>
      </c>
      <c r="I27" s="40">
        <f>I24+I26</f>
        <v/>
      </c>
      <c r="J27" s="40">
        <f>J24+J26</f>
        <v/>
      </c>
      <c r="K27" s="40">
        <f>K24+K26</f>
        <v/>
      </c>
      <c r="L27" s="40">
        <f>L24+L26</f>
        <v/>
      </c>
      <c r="M27" s="40">
        <f>M24+M26</f>
        <v/>
      </c>
      <c r="N27" s="40">
        <f>N24+N26</f>
        <v/>
      </c>
      <c r="O27" s="29">
        <f>SUM(C27:N27)</f>
        <v/>
      </c>
    </row>
    <row r="28">
      <c r="A28" s="5" t="inlineStr">
        <is>
          <t>Interest expense – €500k loan</t>
        </is>
      </c>
      <c r="B28" s="2" t="n"/>
      <c r="C28" s="38">
        <f>-INDEX(Loan!$J$6:$J$29,C$4)*Assumptions!$C$7</f>
        <v/>
      </c>
      <c r="D28" s="38">
        <f>-INDEX(Loan!$J$6:$J$29,D$4)*Assumptions!$C$7</f>
        <v/>
      </c>
      <c r="E28" s="38">
        <f>-INDEX(Loan!$J$6:$J$29,E$4)*Assumptions!$C$7</f>
        <v/>
      </c>
      <c r="F28" s="38">
        <f>-INDEX(Loan!$J$6:$J$29,F$4)*Assumptions!$C$7</f>
        <v/>
      </c>
      <c r="G28" s="38">
        <f>-INDEX(Loan!$J$6:$J$29,G$4)*Assumptions!$C$7</f>
        <v/>
      </c>
      <c r="H28" s="38">
        <f>-INDEX(Loan!$J$6:$J$29,H$4)*Assumptions!$C$7</f>
        <v/>
      </c>
      <c r="I28" s="38">
        <f>-INDEX(Loan!$J$6:$J$29,I$4)*Assumptions!$C$7</f>
        <v/>
      </c>
      <c r="J28" s="38">
        <f>-INDEX(Loan!$J$6:$J$29,J$4)*Assumptions!$C$7</f>
        <v/>
      </c>
      <c r="K28" s="38">
        <f>-INDEX(Loan!$J$6:$J$29,K$4)*Assumptions!$C$7</f>
        <v/>
      </c>
      <c r="L28" s="38">
        <f>-INDEX(Loan!$J$6:$J$29,L$4)*Assumptions!$C$7</f>
        <v/>
      </c>
      <c r="M28" s="38">
        <f>-INDEX(Loan!$J$6:$J$29,M$4)*Assumptions!$C$7</f>
        <v/>
      </c>
      <c r="N28" s="38">
        <f>-INDEX(Loan!$J$6:$J$29,N$4)*Assumptions!$C$7</f>
        <v/>
      </c>
      <c r="O28" s="39">
        <f>SUM(C28:N28)</f>
        <v/>
      </c>
    </row>
    <row r="29">
      <c r="A29" s="17" t="inlineStr">
        <is>
          <t>Profit before tax</t>
        </is>
      </c>
      <c r="B29" s="2" t="n"/>
      <c r="C29" s="21">
        <f>C27+C28</f>
        <v/>
      </c>
      <c r="D29" s="21">
        <f>D27+D28</f>
        <v/>
      </c>
      <c r="E29" s="21">
        <f>E27+E28</f>
        <v/>
      </c>
      <c r="F29" s="21">
        <f>F27+F28</f>
        <v/>
      </c>
      <c r="G29" s="21">
        <f>G27+G28</f>
        <v/>
      </c>
      <c r="H29" s="21">
        <f>H27+H28</f>
        <v/>
      </c>
      <c r="I29" s="21">
        <f>I27+I28</f>
        <v/>
      </c>
      <c r="J29" s="21">
        <f>J27+J28</f>
        <v/>
      </c>
      <c r="K29" s="21">
        <f>K27+K28</f>
        <v/>
      </c>
      <c r="L29" s="21">
        <f>L27+L28</f>
        <v/>
      </c>
      <c r="M29" s="21">
        <f>M27+M28</f>
        <v/>
      </c>
      <c r="N29" s="21">
        <f>N27+N28</f>
        <v/>
      </c>
      <c r="O29" s="39">
        <f>SUM(C29:N29)</f>
        <v/>
      </c>
    </row>
    <row r="30">
      <c r="A30" s="5" t="inlineStr">
        <is>
          <t>Income tax (30% on positive EBT)</t>
        </is>
      </c>
      <c r="B30" s="2" t="n"/>
      <c r="C30" s="38">
        <f>-MAX(0,C29)*Assumptions!$C$40</f>
        <v/>
      </c>
      <c r="D30" s="38">
        <f>-MAX(0,D29)*Assumptions!$C$40</f>
        <v/>
      </c>
      <c r="E30" s="38">
        <f>-MAX(0,E29)*Assumptions!$C$40</f>
        <v/>
      </c>
      <c r="F30" s="38">
        <f>-MAX(0,F29)*Assumptions!$C$40</f>
        <v/>
      </c>
      <c r="G30" s="38">
        <f>-MAX(0,G29)*Assumptions!$C$40</f>
        <v/>
      </c>
      <c r="H30" s="38">
        <f>-MAX(0,H29)*Assumptions!$C$40</f>
        <v/>
      </c>
      <c r="I30" s="38">
        <f>-MAX(0,I29)*Assumptions!$C$40</f>
        <v/>
      </c>
      <c r="J30" s="38">
        <f>-MAX(0,J29)*Assumptions!$C$40</f>
        <v/>
      </c>
      <c r="K30" s="38">
        <f>-MAX(0,K29)*Assumptions!$C$40</f>
        <v/>
      </c>
      <c r="L30" s="38">
        <f>-MAX(0,L29)*Assumptions!$C$40</f>
        <v/>
      </c>
      <c r="M30" s="38">
        <f>-MAX(0,M29)*Assumptions!$C$40</f>
        <v/>
      </c>
      <c r="N30" s="38">
        <f>-MAX(0,N29)*Assumptions!$C$40</f>
        <v/>
      </c>
      <c r="O30" s="39">
        <f>SUM(C30:N30)</f>
        <v/>
      </c>
    </row>
    <row r="31">
      <c r="A31" s="46" t="inlineStr">
        <is>
          <t>Net income</t>
        </is>
      </c>
      <c r="B31" s="47" t="n"/>
      <c r="C31" s="48">
        <f>C29+C30</f>
        <v/>
      </c>
      <c r="D31" s="48">
        <f>D29+D30</f>
        <v/>
      </c>
      <c r="E31" s="48">
        <f>E29+E30</f>
        <v/>
      </c>
      <c r="F31" s="48">
        <f>F29+F30</f>
        <v/>
      </c>
      <c r="G31" s="48">
        <f>G29+G30</f>
        <v/>
      </c>
      <c r="H31" s="48">
        <f>H29+H30</f>
        <v/>
      </c>
      <c r="I31" s="48">
        <f>I29+I30</f>
        <v/>
      </c>
      <c r="J31" s="48">
        <f>J29+J30</f>
        <v/>
      </c>
      <c r="K31" s="48">
        <f>K29+K30</f>
        <v/>
      </c>
      <c r="L31" s="48">
        <f>L29+L30</f>
        <v/>
      </c>
      <c r="M31" s="48">
        <f>M29+M30</f>
        <v/>
      </c>
      <c r="N31" s="48">
        <f>N29+N30</f>
        <v/>
      </c>
      <c r="O31" s="49">
        <f>SUM(C31:N31)</f>
        <v/>
      </c>
    </row>
    <row r="32">
      <c r="A32" s="5" t="inlineStr">
        <is>
          <t xml:space="preserve">   Net margin</t>
        </is>
      </c>
      <c r="B32" s="2" t="n"/>
      <c r="C32" s="43">
        <f>C31/C8</f>
        <v/>
      </c>
      <c r="D32" s="43">
        <f>D31/D8</f>
        <v/>
      </c>
      <c r="E32" s="43">
        <f>E31/E8</f>
        <v/>
      </c>
      <c r="F32" s="43">
        <f>F31/F8</f>
        <v/>
      </c>
      <c r="G32" s="43">
        <f>G31/G8</f>
        <v/>
      </c>
      <c r="H32" s="43">
        <f>H31/H8</f>
        <v/>
      </c>
      <c r="I32" s="43">
        <f>I31/I8</f>
        <v/>
      </c>
      <c r="J32" s="43">
        <f>J31/J8</f>
        <v/>
      </c>
      <c r="K32" s="43">
        <f>K31/K8</f>
        <v/>
      </c>
      <c r="L32" s="43">
        <f>L31/L8</f>
        <v/>
      </c>
      <c r="M32" s="43">
        <f>M31/M8</f>
        <v/>
      </c>
      <c r="N32" s="43">
        <f>N31/N8</f>
        <v/>
      </c>
      <c r="O32" s="44">
        <f>O31/O8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42" t="inlineStr">
        <is>
          <t>Memo: both loan cases (feeds the Runway tab)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</row>
    <row r="35">
      <c r="A35" s="5" t="inlineStr">
        <is>
          <t>Interest expense if loan taken</t>
        </is>
      </c>
      <c r="B35" s="2" t="n"/>
      <c r="C35" s="38">
        <f>-INDEX(Loan!$J$6:$J$29,C$4)</f>
        <v/>
      </c>
      <c r="D35" s="38">
        <f>-INDEX(Loan!$J$6:$J$29,D$4)</f>
        <v/>
      </c>
      <c r="E35" s="38">
        <f>-INDEX(Loan!$J$6:$J$29,E$4)</f>
        <v/>
      </c>
      <c r="F35" s="38">
        <f>-INDEX(Loan!$J$6:$J$29,F$4)</f>
        <v/>
      </c>
      <c r="G35" s="38">
        <f>-INDEX(Loan!$J$6:$J$29,G$4)</f>
        <v/>
      </c>
      <c r="H35" s="38">
        <f>-INDEX(Loan!$J$6:$J$29,H$4)</f>
        <v/>
      </c>
      <c r="I35" s="38">
        <f>-INDEX(Loan!$J$6:$J$29,I$4)</f>
        <v/>
      </c>
      <c r="J35" s="38">
        <f>-INDEX(Loan!$J$6:$J$29,J$4)</f>
        <v/>
      </c>
      <c r="K35" s="38">
        <f>-INDEX(Loan!$J$6:$J$29,K$4)</f>
        <v/>
      </c>
      <c r="L35" s="38">
        <f>-INDEX(Loan!$J$6:$J$29,L$4)</f>
        <v/>
      </c>
      <c r="M35" s="38">
        <f>-INDEX(Loan!$J$6:$J$29,M$4)</f>
        <v/>
      </c>
      <c r="N35" s="38">
        <f>-INDEX(Loan!$J$6:$J$29,N$4)</f>
        <v/>
      </c>
      <c r="O35" s="39">
        <f>SUM(C35:N35)</f>
        <v/>
      </c>
    </row>
    <row r="36">
      <c r="A36" s="5" t="inlineStr">
        <is>
          <t>Income tax – without loan</t>
        </is>
      </c>
      <c r="B36" s="2" t="n"/>
      <c r="C36" s="38">
        <f>-MAX(0,C27)*Assumptions!$C$40</f>
        <v/>
      </c>
      <c r="D36" s="38">
        <f>-MAX(0,D27)*Assumptions!$C$40</f>
        <v/>
      </c>
      <c r="E36" s="38">
        <f>-MAX(0,E27)*Assumptions!$C$40</f>
        <v/>
      </c>
      <c r="F36" s="38">
        <f>-MAX(0,F27)*Assumptions!$C$40</f>
        <v/>
      </c>
      <c r="G36" s="38">
        <f>-MAX(0,G27)*Assumptions!$C$40</f>
        <v/>
      </c>
      <c r="H36" s="38">
        <f>-MAX(0,H27)*Assumptions!$C$40</f>
        <v/>
      </c>
      <c r="I36" s="38">
        <f>-MAX(0,I27)*Assumptions!$C$40</f>
        <v/>
      </c>
      <c r="J36" s="38">
        <f>-MAX(0,J27)*Assumptions!$C$40</f>
        <v/>
      </c>
      <c r="K36" s="38">
        <f>-MAX(0,K27)*Assumptions!$C$40</f>
        <v/>
      </c>
      <c r="L36" s="38">
        <f>-MAX(0,L27)*Assumptions!$C$40</f>
        <v/>
      </c>
      <c r="M36" s="38">
        <f>-MAX(0,M27)*Assumptions!$C$40</f>
        <v/>
      </c>
      <c r="N36" s="38">
        <f>-MAX(0,N27)*Assumptions!$C$40</f>
        <v/>
      </c>
      <c r="O36" s="39">
        <f>SUM(C36:N36)</f>
        <v/>
      </c>
    </row>
    <row r="37">
      <c r="A37" s="5" t="inlineStr">
        <is>
          <t>Income tax – with loan</t>
        </is>
      </c>
      <c r="B37" s="2" t="n"/>
      <c r="C37" s="38">
        <f>-MAX(0,C27+C35)*Assumptions!$C$40</f>
        <v/>
      </c>
      <c r="D37" s="38">
        <f>-MAX(0,D27+D35)*Assumptions!$C$40</f>
        <v/>
      </c>
      <c r="E37" s="38">
        <f>-MAX(0,E27+E35)*Assumptions!$C$40</f>
        <v/>
      </c>
      <c r="F37" s="38">
        <f>-MAX(0,F27+F35)*Assumptions!$C$40</f>
        <v/>
      </c>
      <c r="G37" s="38">
        <f>-MAX(0,G27+G35)*Assumptions!$C$40</f>
        <v/>
      </c>
      <c r="H37" s="38">
        <f>-MAX(0,H27+H35)*Assumptions!$C$40</f>
        <v/>
      </c>
      <c r="I37" s="38">
        <f>-MAX(0,I27+I35)*Assumptions!$C$40</f>
        <v/>
      </c>
      <c r="J37" s="38">
        <f>-MAX(0,J27+J35)*Assumptions!$C$40</f>
        <v/>
      </c>
      <c r="K37" s="38">
        <f>-MAX(0,K27+K35)*Assumptions!$C$40</f>
        <v/>
      </c>
      <c r="L37" s="38">
        <f>-MAX(0,L27+L35)*Assumptions!$C$40</f>
        <v/>
      </c>
      <c r="M37" s="38">
        <f>-MAX(0,M27+M35)*Assumptions!$C$40</f>
        <v/>
      </c>
      <c r="N37" s="38">
        <f>-MAX(0,N27+N35)*Assumptions!$C$40</f>
        <v/>
      </c>
      <c r="O37" s="39">
        <f>SUM(C37:N37)</f>
        <v/>
      </c>
    </row>
    <row r="38">
      <c r="A38" s="17" t="inlineStr">
        <is>
          <t>Net income – without loan</t>
        </is>
      </c>
      <c r="B38" s="2" t="n"/>
      <c r="C38" s="21">
        <f>C27+C36</f>
        <v/>
      </c>
      <c r="D38" s="21">
        <f>D27+D36</f>
        <v/>
      </c>
      <c r="E38" s="21">
        <f>E27+E36</f>
        <v/>
      </c>
      <c r="F38" s="21">
        <f>F27+F36</f>
        <v/>
      </c>
      <c r="G38" s="21">
        <f>G27+G36</f>
        <v/>
      </c>
      <c r="H38" s="21">
        <f>H27+H36</f>
        <v/>
      </c>
      <c r="I38" s="21">
        <f>I27+I36</f>
        <v/>
      </c>
      <c r="J38" s="21">
        <f>J27+J36</f>
        <v/>
      </c>
      <c r="K38" s="21">
        <f>K27+K36</f>
        <v/>
      </c>
      <c r="L38" s="21">
        <f>L27+L36</f>
        <v/>
      </c>
      <c r="M38" s="21">
        <f>M27+M36</f>
        <v/>
      </c>
      <c r="N38" s="21">
        <f>N27+N36</f>
        <v/>
      </c>
      <c r="O38" s="39">
        <f>SUM(C38:N38)</f>
        <v/>
      </c>
    </row>
    <row r="39">
      <c r="A39" s="17" t="inlineStr">
        <is>
          <t>Net income – with loan</t>
        </is>
      </c>
      <c r="B39" s="2" t="n"/>
      <c r="C39" s="21">
        <f>C27+C35+C37</f>
        <v/>
      </c>
      <c r="D39" s="21">
        <f>D27+D35+D37</f>
        <v/>
      </c>
      <c r="E39" s="21">
        <f>E27+E35+E37</f>
        <v/>
      </c>
      <c r="F39" s="21">
        <f>F27+F35+F37</f>
        <v/>
      </c>
      <c r="G39" s="21">
        <f>G27+G35+G37</f>
        <v/>
      </c>
      <c r="H39" s="21">
        <f>H27+H35+H37</f>
        <v/>
      </c>
      <c r="I39" s="21">
        <f>I27+I35+I37</f>
        <v/>
      </c>
      <c r="J39" s="21">
        <f>J27+J35+J37</f>
        <v/>
      </c>
      <c r="K39" s="21">
        <f>K27+K35+K37</f>
        <v/>
      </c>
      <c r="L39" s="21">
        <f>L27+L35+L37</f>
        <v/>
      </c>
      <c r="M39" s="21">
        <f>M27+M35+M37</f>
        <v/>
      </c>
      <c r="N39" s="21">
        <f>N27+N35+N37</f>
        <v/>
      </c>
      <c r="O39" s="39">
        <f>SUM(C39:N39)</f>
        <v/>
      </c>
    </row>
    <row r="40">
      <c r="A40" s="5" t="inlineStr">
        <is>
          <t>After-tax cost of the loan (P&amp;L)</t>
        </is>
      </c>
      <c r="B40" s="2" t="n"/>
      <c r="C40" s="38">
        <f>C39-C38</f>
        <v/>
      </c>
      <c r="D40" s="38">
        <f>D39-D38</f>
        <v/>
      </c>
      <c r="E40" s="38">
        <f>E39-E38</f>
        <v/>
      </c>
      <c r="F40" s="38">
        <f>F39-F38</f>
        <v/>
      </c>
      <c r="G40" s="38">
        <f>G39-G38</f>
        <v/>
      </c>
      <c r="H40" s="38">
        <f>H39-H38</f>
        <v/>
      </c>
      <c r="I40" s="38">
        <f>I39-I38</f>
        <v/>
      </c>
      <c r="J40" s="38">
        <f>J39-J38</f>
        <v/>
      </c>
      <c r="K40" s="38">
        <f>K39-K38</f>
        <v/>
      </c>
      <c r="L40" s="38">
        <f>L39-L38</f>
        <v/>
      </c>
      <c r="M40" s="38">
        <f>M39-M38</f>
        <v/>
      </c>
      <c r="N40" s="38">
        <f>N39-N38</f>
        <v/>
      </c>
      <c r="O40" s="39">
        <f>SUM(C40:N40)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42" t="inlineStr">
        <is>
          <t>Cost driver view (share of total costs before tax)</t>
        </is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</row>
    <row r="43">
      <c r="A43" s="5" t="inlineStr">
        <is>
          <t xml:space="preserve">   COGS</t>
        </is>
      </c>
      <c r="B43" s="2" t="n"/>
      <c r="C43" s="43">
        <f>-C11/(-C11-C21-C26)</f>
        <v/>
      </c>
      <c r="D43" s="43">
        <f>-D11/(-D11-D21-D26)</f>
        <v/>
      </c>
      <c r="E43" s="43">
        <f>-E11/(-E11-E21-E26)</f>
        <v/>
      </c>
      <c r="F43" s="43">
        <f>-F11/(-F11-F21-F26)</f>
        <v/>
      </c>
      <c r="G43" s="43">
        <f>-G11/(-G11-G21-G26)</f>
        <v/>
      </c>
      <c r="H43" s="43">
        <f>-H11/(-H11-H21-H26)</f>
        <v/>
      </c>
      <c r="I43" s="43">
        <f>-I11/(-I11-I21-I26)</f>
        <v/>
      </c>
      <c r="J43" s="43">
        <f>-J11/(-J11-J21-J26)</f>
        <v/>
      </c>
      <c r="K43" s="43">
        <f>-K11/(-K11-K21-K26)</f>
        <v/>
      </c>
      <c r="L43" s="43">
        <f>-L11/(-L11-L21-L26)</f>
        <v/>
      </c>
      <c r="M43" s="43">
        <f>-M11/(-M11-M21-M26)</f>
        <v/>
      </c>
      <c r="N43" s="43">
        <f>-N11/(-N11-N21-N26)</f>
        <v/>
      </c>
      <c r="O43" s="44">
        <f>-O11/(-O11-O21-O26)</f>
        <v/>
      </c>
    </row>
    <row r="44">
      <c r="A44" s="5" t="inlineStr">
        <is>
          <t xml:space="preserve">   People (salary + benefits + hiring)</t>
        </is>
      </c>
      <c r="B44" s="2" t="n"/>
      <c r="C44" s="43">
        <f>-(C15+C16+C17)/(-C11-C21-C26)</f>
        <v/>
      </c>
      <c r="D44" s="43">
        <f>-(D15+D16+D17)/(-D11-D21-D26)</f>
        <v/>
      </c>
      <c r="E44" s="43">
        <f>-(E15+E16+E17)/(-E11-E21-E26)</f>
        <v/>
      </c>
      <c r="F44" s="43">
        <f>-(F15+F16+F17)/(-F11-F21-F26)</f>
        <v/>
      </c>
      <c r="G44" s="43">
        <f>-(G15+G16+G17)/(-G11-G21-G26)</f>
        <v/>
      </c>
      <c r="H44" s="43">
        <f>-(H15+H16+H17)/(-H11-H21-H26)</f>
        <v/>
      </c>
      <c r="I44" s="43">
        <f>-(I15+I16+I17)/(-I11-I21-I26)</f>
        <v/>
      </c>
      <c r="J44" s="43">
        <f>-(J15+J16+J17)/(-J11-J21-J26)</f>
        <v/>
      </c>
      <c r="K44" s="43">
        <f>-(K15+K16+K17)/(-K11-K21-K26)</f>
        <v/>
      </c>
      <c r="L44" s="43">
        <f>-(L15+L16+L17)/(-L11-L21-L26)</f>
        <v/>
      </c>
      <c r="M44" s="43">
        <f>-(M15+M16+M17)/(-M11-M21-M26)</f>
        <v/>
      </c>
      <c r="N44" s="43">
        <f>-(N15+N16+N17)/(-N11-N21-N26)</f>
        <v/>
      </c>
      <c r="O44" s="44">
        <f>-(O15+O16+O17)/(-O11-O21-O26)</f>
        <v/>
      </c>
    </row>
    <row r="45">
      <c r="A45" s="5" t="inlineStr">
        <is>
          <t xml:space="preserve">   Overhead</t>
        </is>
      </c>
      <c r="B45" s="2" t="n"/>
      <c r="C45" s="43">
        <f>-C18/(-C11-C21-C26)</f>
        <v/>
      </c>
      <c r="D45" s="43">
        <f>-D18/(-D11-D21-D26)</f>
        <v/>
      </c>
      <c r="E45" s="43">
        <f>-E18/(-E11-E21-E26)</f>
        <v/>
      </c>
      <c r="F45" s="43">
        <f>-F18/(-F11-F21-F26)</f>
        <v/>
      </c>
      <c r="G45" s="43">
        <f>-G18/(-G11-G21-G26)</f>
        <v/>
      </c>
      <c r="H45" s="43">
        <f>-H18/(-H11-H21-H26)</f>
        <v/>
      </c>
      <c r="I45" s="43">
        <f>-I18/(-I11-I21-I26)</f>
        <v/>
      </c>
      <c r="J45" s="43">
        <f>-J18/(-J11-J21-J26)</f>
        <v/>
      </c>
      <c r="K45" s="43">
        <f>-K18/(-K11-K21-K26)</f>
        <v/>
      </c>
      <c r="L45" s="43">
        <f>-L18/(-L11-L21-L26)</f>
        <v/>
      </c>
      <c r="M45" s="43">
        <f>-M18/(-M11-M21-M26)</f>
        <v/>
      </c>
      <c r="N45" s="43">
        <f>-N18/(-N11-N21-N26)</f>
        <v/>
      </c>
      <c r="O45" s="44">
        <f>-O18/(-O11-O21-O26)</f>
        <v/>
      </c>
    </row>
    <row r="46">
      <c r="A46" s="5" t="inlineStr">
        <is>
          <t xml:space="preserve">   G&amp;A / Legal</t>
        </is>
      </c>
      <c r="B46" s="2" t="n"/>
      <c r="C46" s="43">
        <f>-C19/(-C11-C21-C26)</f>
        <v/>
      </c>
      <c r="D46" s="43">
        <f>-D19/(-D11-D21-D26)</f>
        <v/>
      </c>
      <c r="E46" s="43">
        <f>-E19/(-E11-E21-E26)</f>
        <v/>
      </c>
      <c r="F46" s="43">
        <f>-F19/(-F11-F21-F26)</f>
        <v/>
      </c>
      <c r="G46" s="43">
        <f>-G19/(-G11-G21-G26)</f>
        <v/>
      </c>
      <c r="H46" s="43">
        <f>-H19/(-H11-H21-H26)</f>
        <v/>
      </c>
      <c r="I46" s="43">
        <f>-I19/(-I11-I21-I26)</f>
        <v/>
      </c>
      <c r="J46" s="43">
        <f>-J19/(-J11-J21-J26)</f>
        <v/>
      </c>
      <c r="K46" s="43">
        <f>-K19/(-K11-K21-K26)</f>
        <v/>
      </c>
      <c r="L46" s="43">
        <f>-L19/(-L11-L21-L26)</f>
        <v/>
      </c>
      <c r="M46" s="43">
        <f>-M19/(-M11-M21-M26)</f>
        <v/>
      </c>
      <c r="N46" s="43">
        <f>-N19/(-N11-N21-N26)</f>
        <v/>
      </c>
      <c r="O46" s="44">
        <f>-O19/(-O11-O21-O26)</f>
        <v/>
      </c>
    </row>
    <row r="47">
      <c r="A47" s="5" t="inlineStr">
        <is>
          <t xml:space="preserve">   Existing run-rate opex</t>
        </is>
      </c>
      <c r="B47" s="2" t="n"/>
      <c r="C47" s="43">
        <f>-C20/(-C11-C21-C26)</f>
        <v/>
      </c>
      <c r="D47" s="43">
        <f>-D20/(-D11-D21-D26)</f>
        <v/>
      </c>
      <c r="E47" s="43">
        <f>-E20/(-E11-E21-E26)</f>
        <v/>
      </c>
      <c r="F47" s="43">
        <f>-F20/(-F11-F21-F26)</f>
        <v/>
      </c>
      <c r="G47" s="43">
        <f>-G20/(-G11-G21-G26)</f>
        <v/>
      </c>
      <c r="H47" s="43">
        <f>-H20/(-H11-H21-H26)</f>
        <v/>
      </c>
      <c r="I47" s="43">
        <f>-I20/(-I11-I21-I26)</f>
        <v/>
      </c>
      <c r="J47" s="43">
        <f>-J20/(-J11-J21-J26)</f>
        <v/>
      </c>
      <c r="K47" s="43">
        <f>-K20/(-K11-K21-K26)</f>
        <v/>
      </c>
      <c r="L47" s="43">
        <f>-L20/(-L11-L21-L26)</f>
        <v/>
      </c>
      <c r="M47" s="43">
        <f>-M20/(-M11-M21-M26)</f>
        <v/>
      </c>
      <c r="N47" s="43">
        <f>-N20/(-N11-N21-N26)</f>
        <v/>
      </c>
      <c r="O47" s="44">
        <f>-O20/(-O11-O21-O26)</f>
        <v/>
      </c>
    </row>
  </sheetData>
  <conditionalFormatting sqref="C31:O31">
    <cfRule type="cellIs" priority="1" operator="lessThan" dxfId="0">
      <formula>0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4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Cash flow statement – indirect method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Starts from net income, adds back non-cash items and working-capital movements. Loan treatment follows Assumptions!C7.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1">
        <f>"Scenario: "&amp;Assumptions!$D$6&amp;"  |  "&amp;Assumptions!$D$7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30" t="inlineStr">
        <is>
          <t>Month #</t>
        </is>
      </c>
      <c r="B4" s="31" t="inlineStr">
        <is>
          <t>Opening</t>
        </is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inlineStr">
        <is>
          <t>FY total</t>
        </is>
      </c>
    </row>
    <row r="5">
      <c r="A5" s="30" t="inlineStr">
        <is>
          <t>USD unless stated</t>
        </is>
      </c>
      <c r="B5" s="31" t="n"/>
      <c r="C5" s="32">
        <f>EDATE(Assumptions!$C$5,C$4-1)</f>
        <v/>
      </c>
      <c r="D5" s="32">
        <f>EDATE(Assumptions!$C$5,D$4-1)</f>
        <v/>
      </c>
      <c r="E5" s="32">
        <f>EDATE(Assumptions!$C$5,E$4-1)</f>
        <v/>
      </c>
      <c r="F5" s="32">
        <f>EDATE(Assumptions!$C$5,F$4-1)</f>
        <v/>
      </c>
      <c r="G5" s="32">
        <f>EDATE(Assumptions!$C$5,G$4-1)</f>
        <v/>
      </c>
      <c r="H5" s="32">
        <f>EDATE(Assumptions!$C$5,H$4-1)</f>
        <v/>
      </c>
      <c r="I5" s="32">
        <f>EDATE(Assumptions!$C$5,I$4-1)</f>
        <v/>
      </c>
      <c r="J5" s="32">
        <f>EDATE(Assumptions!$C$5,J$4-1)</f>
        <v/>
      </c>
      <c r="K5" s="32">
        <f>EDATE(Assumptions!$C$5,K$4-1)</f>
        <v/>
      </c>
      <c r="L5" s="32">
        <f>EDATE(Assumptions!$C$5,L$4-1)</f>
        <v/>
      </c>
      <c r="M5" s="32">
        <f>EDATE(Assumptions!$C$5,M$4-1)</f>
        <v/>
      </c>
      <c r="N5" s="32">
        <f>EDATE(Assumptions!$C$5,N$4-1)</f>
        <v/>
      </c>
      <c r="O5" s="31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42" t="inlineStr">
        <is>
          <t>Operating activities</t>
        </is>
      </c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</row>
    <row r="8">
      <c r="A8" s="17" t="inlineStr">
        <is>
          <t>Net income</t>
        </is>
      </c>
      <c r="B8" s="2" t="n"/>
      <c r="C8" s="21">
        <f>'P&amp;L'!C31</f>
        <v/>
      </c>
      <c r="D8" s="21">
        <f>'P&amp;L'!D31</f>
        <v/>
      </c>
      <c r="E8" s="21">
        <f>'P&amp;L'!E31</f>
        <v/>
      </c>
      <c r="F8" s="21">
        <f>'P&amp;L'!F31</f>
        <v/>
      </c>
      <c r="G8" s="21">
        <f>'P&amp;L'!G31</f>
        <v/>
      </c>
      <c r="H8" s="21">
        <f>'P&amp;L'!H31</f>
        <v/>
      </c>
      <c r="I8" s="21">
        <f>'P&amp;L'!I31</f>
        <v/>
      </c>
      <c r="J8" s="21">
        <f>'P&amp;L'!J31</f>
        <v/>
      </c>
      <c r="K8" s="21">
        <f>'P&amp;L'!K31</f>
        <v/>
      </c>
      <c r="L8" s="21">
        <f>'P&amp;L'!L31</f>
        <v/>
      </c>
      <c r="M8" s="21">
        <f>'P&amp;L'!M31</f>
        <v/>
      </c>
      <c r="N8" s="21">
        <f>'P&amp;L'!N31</f>
        <v/>
      </c>
      <c r="O8" s="39">
        <f>SUM(C8:N8)</f>
        <v/>
      </c>
    </row>
    <row r="9">
      <c r="A9" s="5" t="inlineStr">
        <is>
          <t>+ Depreciation (non-cash)</t>
        </is>
      </c>
      <c r="B9" s="2" t="n"/>
      <c r="C9" s="38">
        <f>-'P&amp;L'!C26</f>
        <v/>
      </c>
      <c r="D9" s="38">
        <f>-'P&amp;L'!D26</f>
        <v/>
      </c>
      <c r="E9" s="38">
        <f>-'P&amp;L'!E26</f>
        <v/>
      </c>
      <c r="F9" s="38">
        <f>-'P&amp;L'!F26</f>
        <v/>
      </c>
      <c r="G9" s="38">
        <f>-'P&amp;L'!G26</f>
        <v/>
      </c>
      <c r="H9" s="38">
        <f>-'P&amp;L'!H26</f>
        <v/>
      </c>
      <c r="I9" s="38">
        <f>-'P&amp;L'!I26</f>
        <v/>
      </c>
      <c r="J9" s="38">
        <f>-'P&amp;L'!J26</f>
        <v/>
      </c>
      <c r="K9" s="38">
        <f>-'P&amp;L'!K26</f>
        <v/>
      </c>
      <c r="L9" s="38">
        <f>-'P&amp;L'!L26</f>
        <v/>
      </c>
      <c r="M9" s="38">
        <f>-'P&amp;L'!M26</f>
        <v/>
      </c>
      <c r="N9" s="38">
        <f>-'P&amp;L'!N26</f>
        <v/>
      </c>
      <c r="O9" s="39">
        <f>SUM(C9:N9)</f>
        <v/>
      </c>
    </row>
    <row r="10">
      <c r="A10" s="5" t="inlineStr">
        <is>
          <t>− Increase in accounts receivable</t>
        </is>
      </c>
      <c r="B10" s="2" t="n"/>
      <c r="C10" s="38">
        <f>-(C34-B34)</f>
        <v/>
      </c>
      <c r="D10" s="38">
        <f>-(D34-C34)</f>
        <v/>
      </c>
      <c r="E10" s="38">
        <f>-(E34-D34)</f>
        <v/>
      </c>
      <c r="F10" s="38">
        <f>-(F34-E34)</f>
        <v/>
      </c>
      <c r="G10" s="38">
        <f>-(G34-F34)</f>
        <v/>
      </c>
      <c r="H10" s="38">
        <f>-(H34-G34)</f>
        <v/>
      </c>
      <c r="I10" s="38">
        <f>-(I34-H34)</f>
        <v/>
      </c>
      <c r="J10" s="38">
        <f>-(J34-I34)</f>
        <v/>
      </c>
      <c r="K10" s="38">
        <f>-(K34-J34)</f>
        <v/>
      </c>
      <c r="L10" s="38">
        <f>-(L34-K34)</f>
        <v/>
      </c>
      <c r="M10" s="38">
        <f>-(M34-L34)</f>
        <v/>
      </c>
      <c r="N10" s="38">
        <f>-(N34-M34)</f>
        <v/>
      </c>
      <c r="O10" s="39">
        <f>SUM(C10:N10)</f>
        <v/>
      </c>
    </row>
    <row r="11">
      <c r="A11" s="5" t="inlineStr">
        <is>
          <t>+ Increase in accounts payable</t>
        </is>
      </c>
      <c r="B11" s="2" t="n"/>
      <c r="C11" s="38">
        <f>C35-B35</f>
        <v/>
      </c>
      <c r="D11" s="38">
        <f>D35-C35</f>
        <v/>
      </c>
      <c r="E11" s="38">
        <f>E35-D35</f>
        <v/>
      </c>
      <c r="F11" s="38">
        <f>F35-E35</f>
        <v/>
      </c>
      <c r="G11" s="38">
        <f>G35-F35</f>
        <v/>
      </c>
      <c r="H11" s="38">
        <f>H35-G35</f>
        <v/>
      </c>
      <c r="I11" s="38">
        <f>I35-H35</f>
        <v/>
      </c>
      <c r="J11" s="38">
        <f>J35-I35</f>
        <v/>
      </c>
      <c r="K11" s="38">
        <f>K35-J35</f>
        <v/>
      </c>
      <c r="L11" s="38">
        <f>L35-K35</f>
        <v/>
      </c>
      <c r="M11" s="38">
        <f>M35-L35</f>
        <v/>
      </c>
      <c r="N11" s="38">
        <f>N35-M35</f>
        <v/>
      </c>
      <c r="O11" s="39">
        <f>SUM(C11:N11)</f>
        <v/>
      </c>
    </row>
    <row r="12">
      <c r="A12" s="5" t="inlineStr">
        <is>
          <t>+ Increase in income tax payable</t>
        </is>
      </c>
      <c r="B12" s="2" t="n"/>
      <c r="C12" s="38">
        <f>C36-B36</f>
        <v/>
      </c>
      <c r="D12" s="38">
        <f>D36-C36</f>
        <v/>
      </c>
      <c r="E12" s="38">
        <f>E36-D36</f>
        <v/>
      </c>
      <c r="F12" s="38">
        <f>F36-E36</f>
        <v/>
      </c>
      <c r="G12" s="38">
        <f>G36-F36</f>
        <v/>
      </c>
      <c r="H12" s="38">
        <f>H36-G36</f>
        <v/>
      </c>
      <c r="I12" s="38">
        <f>I36-H36</f>
        <v/>
      </c>
      <c r="J12" s="38">
        <f>J36-I36</f>
        <v/>
      </c>
      <c r="K12" s="38">
        <f>K36-J36</f>
        <v/>
      </c>
      <c r="L12" s="38">
        <f>L36-K36</f>
        <v/>
      </c>
      <c r="M12" s="38">
        <f>M36-L36</f>
        <v/>
      </c>
      <c r="N12" s="38">
        <f>N36-M36</f>
        <v/>
      </c>
      <c r="O12" s="39">
        <f>SUM(C12:N12)</f>
        <v/>
      </c>
    </row>
    <row r="13">
      <c r="A13" s="35" t="inlineStr">
        <is>
          <t>Cash flow from operations (CFO)</t>
        </is>
      </c>
      <c r="B13" s="45" t="n"/>
      <c r="C13" s="40">
        <f>SUM(C8:C12)</f>
        <v/>
      </c>
      <c r="D13" s="40">
        <f>SUM(D8:D12)</f>
        <v/>
      </c>
      <c r="E13" s="40">
        <f>SUM(E8:E12)</f>
        <v/>
      </c>
      <c r="F13" s="40">
        <f>SUM(F8:F12)</f>
        <v/>
      </c>
      <c r="G13" s="40">
        <f>SUM(G8:G12)</f>
        <v/>
      </c>
      <c r="H13" s="40">
        <f>SUM(H8:H12)</f>
        <v/>
      </c>
      <c r="I13" s="40">
        <f>SUM(I8:I12)</f>
        <v/>
      </c>
      <c r="J13" s="40">
        <f>SUM(J8:J12)</f>
        <v/>
      </c>
      <c r="K13" s="40">
        <f>SUM(K8:K12)</f>
        <v/>
      </c>
      <c r="L13" s="40">
        <f>SUM(L8:L12)</f>
        <v/>
      </c>
      <c r="M13" s="40">
        <f>SUM(M8:M12)</f>
        <v/>
      </c>
      <c r="N13" s="40">
        <f>SUM(N8:N12)</f>
        <v/>
      </c>
      <c r="O13" s="29">
        <f>SUM(C13:N13)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42" t="inlineStr">
        <is>
          <t>Investing activities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</row>
    <row r="16">
      <c r="A16" s="5" t="inlineStr">
        <is>
          <t>Equipment capex for new hires</t>
        </is>
      </c>
      <c r="B16" s="2" t="n"/>
      <c r="C16" s="38">
        <f>-Headcount!C54</f>
        <v/>
      </c>
      <c r="D16" s="38">
        <f>-Headcount!D54</f>
        <v/>
      </c>
      <c r="E16" s="38">
        <f>-Headcount!E54</f>
        <v/>
      </c>
      <c r="F16" s="38">
        <f>-Headcount!F54</f>
        <v/>
      </c>
      <c r="G16" s="38">
        <f>-Headcount!G54</f>
        <v/>
      </c>
      <c r="H16" s="38">
        <f>-Headcount!H54</f>
        <v/>
      </c>
      <c r="I16" s="38">
        <f>-Headcount!I54</f>
        <v/>
      </c>
      <c r="J16" s="38">
        <f>-Headcount!J54</f>
        <v/>
      </c>
      <c r="K16" s="38">
        <f>-Headcount!K54</f>
        <v/>
      </c>
      <c r="L16" s="38">
        <f>-Headcount!L54</f>
        <v/>
      </c>
      <c r="M16" s="38">
        <f>-Headcount!M54</f>
        <v/>
      </c>
      <c r="N16" s="38">
        <f>-Headcount!N54</f>
        <v/>
      </c>
      <c r="O16" s="39">
        <f>SUM(C16:N16)</f>
        <v/>
      </c>
    </row>
    <row r="17">
      <c r="A17" s="35" t="inlineStr">
        <is>
          <t>Cash flow from investing (CFI)</t>
        </is>
      </c>
      <c r="B17" s="45" t="n"/>
      <c r="C17" s="40">
        <f>C16</f>
        <v/>
      </c>
      <c r="D17" s="40">
        <f>D16</f>
        <v/>
      </c>
      <c r="E17" s="40">
        <f>E16</f>
        <v/>
      </c>
      <c r="F17" s="40">
        <f>F16</f>
        <v/>
      </c>
      <c r="G17" s="40">
        <f>G16</f>
        <v/>
      </c>
      <c r="H17" s="40">
        <f>H16</f>
        <v/>
      </c>
      <c r="I17" s="40">
        <f>I16</f>
        <v/>
      </c>
      <c r="J17" s="40">
        <f>J16</f>
        <v/>
      </c>
      <c r="K17" s="40">
        <f>K16</f>
        <v/>
      </c>
      <c r="L17" s="40">
        <f>L16</f>
        <v/>
      </c>
      <c r="M17" s="40">
        <f>M16</f>
        <v/>
      </c>
      <c r="N17" s="40">
        <f>N16</f>
        <v/>
      </c>
      <c r="O17" s="29">
        <f>SUM(C17:N17)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42" t="inlineStr">
        <is>
          <t>Financing activities</t>
        </is>
      </c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</row>
    <row r="20">
      <c r="A20" s="5" t="inlineStr">
        <is>
          <t>Loan drawdown (€500k × 1.10)</t>
        </is>
      </c>
      <c r="B20" s="2" t="n"/>
      <c r="C20" s="38">
        <f>IF(C$4=1,Assumptions!$C$43*Assumptions!$C$47,0)*Assumptions!$C$7</f>
        <v/>
      </c>
      <c r="D20" s="38">
        <f>IF(D$4=1,Assumptions!$C$43*Assumptions!$C$47,0)*Assumptions!$C$7</f>
        <v/>
      </c>
      <c r="E20" s="38">
        <f>IF(E$4=1,Assumptions!$C$43*Assumptions!$C$47,0)*Assumptions!$C$7</f>
        <v/>
      </c>
      <c r="F20" s="38">
        <f>IF(F$4=1,Assumptions!$C$43*Assumptions!$C$47,0)*Assumptions!$C$7</f>
        <v/>
      </c>
      <c r="G20" s="38">
        <f>IF(G$4=1,Assumptions!$C$43*Assumptions!$C$47,0)*Assumptions!$C$7</f>
        <v/>
      </c>
      <c r="H20" s="38">
        <f>IF(H$4=1,Assumptions!$C$43*Assumptions!$C$47,0)*Assumptions!$C$7</f>
        <v/>
      </c>
      <c r="I20" s="38">
        <f>IF(I$4=1,Assumptions!$C$43*Assumptions!$C$47,0)*Assumptions!$C$7</f>
        <v/>
      </c>
      <c r="J20" s="38">
        <f>IF(J$4=1,Assumptions!$C$43*Assumptions!$C$47,0)*Assumptions!$C$7</f>
        <v/>
      </c>
      <c r="K20" s="38">
        <f>IF(K$4=1,Assumptions!$C$43*Assumptions!$C$47,0)*Assumptions!$C$7</f>
        <v/>
      </c>
      <c r="L20" s="38">
        <f>IF(L$4=1,Assumptions!$C$43*Assumptions!$C$47,0)*Assumptions!$C$7</f>
        <v/>
      </c>
      <c r="M20" s="38">
        <f>IF(M$4=1,Assumptions!$C$43*Assumptions!$C$47,0)*Assumptions!$C$7</f>
        <v/>
      </c>
      <c r="N20" s="38">
        <f>IF(N$4=1,Assumptions!$C$43*Assumptions!$C$47,0)*Assumptions!$C$7</f>
        <v/>
      </c>
      <c r="O20" s="39">
        <f>SUM(C20:N20)</f>
        <v/>
      </c>
    </row>
    <row r="21">
      <c r="A21" s="5" t="inlineStr">
        <is>
          <t>Loan principal repayment</t>
        </is>
      </c>
      <c r="B21" s="2" t="n"/>
      <c r="C21" s="38">
        <f>-INDEX(Loan!$I$6:$I$29,C$4)*Assumptions!$C$7</f>
        <v/>
      </c>
      <c r="D21" s="38">
        <f>-INDEX(Loan!$I$6:$I$29,D$4)*Assumptions!$C$7</f>
        <v/>
      </c>
      <c r="E21" s="38">
        <f>-INDEX(Loan!$I$6:$I$29,E$4)*Assumptions!$C$7</f>
        <v/>
      </c>
      <c r="F21" s="38">
        <f>-INDEX(Loan!$I$6:$I$29,F$4)*Assumptions!$C$7</f>
        <v/>
      </c>
      <c r="G21" s="38">
        <f>-INDEX(Loan!$I$6:$I$29,G$4)*Assumptions!$C$7</f>
        <v/>
      </c>
      <c r="H21" s="38">
        <f>-INDEX(Loan!$I$6:$I$29,H$4)*Assumptions!$C$7</f>
        <v/>
      </c>
      <c r="I21" s="38">
        <f>-INDEX(Loan!$I$6:$I$29,I$4)*Assumptions!$C$7</f>
        <v/>
      </c>
      <c r="J21" s="38">
        <f>-INDEX(Loan!$I$6:$I$29,J$4)*Assumptions!$C$7</f>
        <v/>
      </c>
      <c r="K21" s="38">
        <f>-INDEX(Loan!$I$6:$I$29,K$4)*Assumptions!$C$7</f>
        <v/>
      </c>
      <c r="L21" s="38">
        <f>-INDEX(Loan!$I$6:$I$29,L$4)*Assumptions!$C$7</f>
        <v/>
      </c>
      <c r="M21" s="38">
        <f>-INDEX(Loan!$I$6:$I$29,M$4)*Assumptions!$C$7</f>
        <v/>
      </c>
      <c r="N21" s="38">
        <f>-INDEX(Loan!$I$6:$I$29,N$4)*Assumptions!$C$7</f>
        <v/>
      </c>
      <c r="O21" s="39">
        <f>SUM(C21:N21)</f>
        <v/>
      </c>
    </row>
    <row r="22">
      <c r="A22" s="35" t="inlineStr">
        <is>
          <t>Cash flow from financing (CFF)</t>
        </is>
      </c>
      <c r="B22" s="45" t="n"/>
      <c r="C22" s="40">
        <f>C20+C21</f>
        <v/>
      </c>
      <c r="D22" s="40">
        <f>D20+D21</f>
        <v/>
      </c>
      <c r="E22" s="40">
        <f>E20+E21</f>
        <v/>
      </c>
      <c r="F22" s="40">
        <f>F20+F21</f>
        <v/>
      </c>
      <c r="G22" s="40">
        <f>G20+G21</f>
        <v/>
      </c>
      <c r="H22" s="40">
        <f>H20+H21</f>
        <v/>
      </c>
      <c r="I22" s="40">
        <f>I20+I21</f>
        <v/>
      </c>
      <c r="J22" s="40">
        <f>J20+J21</f>
        <v/>
      </c>
      <c r="K22" s="40">
        <f>K20+K21</f>
        <v/>
      </c>
      <c r="L22" s="40">
        <f>L20+L21</f>
        <v/>
      </c>
      <c r="M22" s="40">
        <f>M20+M21</f>
        <v/>
      </c>
      <c r="N22" s="40">
        <f>N20+N21</f>
        <v/>
      </c>
      <c r="O22" s="29">
        <f>SUM(C22:N22)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35" t="inlineStr">
        <is>
          <t>Net change in cash</t>
        </is>
      </c>
      <c r="B24" s="45" t="n"/>
      <c r="C24" s="40">
        <f>C13+C17+C22</f>
        <v/>
      </c>
      <c r="D24" s="40">
        <f>D13+D17+D22</f>
        <v/>
      </c>
      <c r="E24" s="40">
        <f>E13+E17+E22</f>
        <v/>
      </c>
      <c r="F24" s="40">
        <f>F13+F17+F22</f>
        <v/>
      </c>
      <c r="G24" s="40">
        <f>G13+G17+G22</f>
        <v/>
      </c>
      <c r="H24" s="40">
        <f>H13+H17+H22</f>
        <v/>
      </c>
      <c r="I24" s="40">
        <f>I13+I17+I22</f>
        <v/>
      </c>
      <c r="J24" s="40">
        <f>J13+J17+J22</f>
        <v/>
      </c>
      <c r="K24" s="40">
        <f>K13+K17+K22</f>
        <v/>
      </c>
      <c r="L24" s="40">
        <f>L13+L17+L22</f>
        <v/>
      </c>
      <c r="M24" s="40">
        <f>M13+M17+M22</f>
        <v/>
      </c>
      <c r="N24" s="40">
        <f>N13+N17+N22</f>
        <v/>
      </c>
      <c r="O24" s="29">
        <f>SUM(C24:N24)</f>
        <v/>
      </c>
    </row>
    <row r="25">
      <c r="A25" s="5" t="inlineStr">
        <is>
          <t>Opening cash</t>
        </is>
      </c>
      <c r="B25" s="2" t="n"/>
      <c r="C25" s="38">
        <f>Assumptions!$C$37</f>
        <v/>
      </c>
      <c r="D25" s="38">
        <f>C26</f>
        <v/>
      </c>
      <c r="E25" s="38">
        <f>D26</f>
        <v/>
      </c>
      <c r="F25" s="38">
        <f>E26</f>
        <v/>
      </c>
      <c r="G25" s="38">
        <f>F26</f>
        <v/>
      </c>
      <c r="H25" s="38">
        <f>G26</f>
        <v/>
      </c>
      <c r="I25" s="38">
        <f>H26</f>
        <v/>
      </c>
      <c r="J25" s="38">
        <f>I26</f>
        <v/>
      </c>
      <c r="K25" s="38">
        <f>J26</f>
        <v/>
      </c>
      <c r="L25" s="38">
        <f>K26</f>
        <v/>
      </c>
      <c r="M25" s="38">
        <f>L26</f>
        <v/>
      </c>
      <c r="N25" s="38">
        <f>M26</f>
        <v/>
      </c>
      <c r="O25" s="39">
        <f>C25</f>
        <v/>
      </c>
    </row>
    <row r="26">
      <c r="A26" s="46" t="inlineStr">
        <is>
          <t>Closing cash</t>
        </is>
      </c>
      <c r="B26" s="47" t="n"/>
      <c r="C26" s="48">
        <f>C25+C24</f>
        <v/>
      </c>
      <c r="D26" s="48">
        <f>D25+D24</f>
        <v/>
      </c>
      <c r="E26" s="48">
        <f>E25+E24</f>
        <v/>
      </c>
      <c r="F26" s="48">
        <f>F25+F24</f>
        <v/>
      </c>
      <c r="G26" s="48">
        <f>G25+G24</f>
        <v/>
      </c>
      <c r="H26" s="48">
        <f>H25+H24</f>
        <v/>
      </c>
      <c r="I26" s="48">
        <f>I25+I24</f>
        <v/>
      </c>
      <c r="J26" s="48">
        <f>J25+J24</f>
        <v/>
      </c>
      <c r="K26" s="48">
        <f>K25+K24</f>
        <v/>
      </c>
      <c r="L26" s="48">
        <f>L25+L24</f>
        <v/>
      </c>
      <c r="M26" s="48">
        <f>M25+M24</f>
        <v/>
      </c>
      <c r="N26" s="48">
        <f>N25+N24</f>
        <v/>
      </c>
      <c r="O26" s="49">
        <f>N26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5" t="inlineStr">
        <is>
          <t>Memo: free cash flow (CFO + CFI, pre-financing)</t>
        </is>
      </c>
      <c r="B28" s="2" t="n"/>
      <c r="C28" s="38">
        <f>C13+C17</f>
        <v/>
      </c>
      <c r="D28" s="38">
        <f>D13+D17</f>
        <v/>
      </c>
      <c r="E28" s="38">
        <f>E13+E17</f>
        <v/>
      </c>
      <c r="F28" s="38">
        <f>F13+F17</f>
        <v/>
      </c>
      <c r="G28" s="38">
        <f>G13+G17</f>
        <v/>
      </c>
      <c r="H28" s="38">
        <f>H13+H17</f>
        <v/>
      </c>
      <c r="I28" s="38">
        <f>I13+I17</f>
        <v/>
      </c>
      <c r="J28" s="38">
        <f>J13+J17</f>
        <v/>
      </c>
      <c r="K28" s="38">
        <f>K13+K17</f>
        <v/>
      </c>
      <c r="L28" s="38">
        <f>L13+L17</f>
        <v/>
      </c>
      <c r="M28" s="38">
        <f>M13+M17</f>
        <v/>
      </c>
      <c r="N28" s="38">
        <f>N13+N17</f>
        <v/>
      </c>
      <c r="O28" s="39">
        <f>SUM(C28:N28)</f>
        <v/>
      </c>
    </row>
    <row r="29">
      <c r="A29" s="5" t="inlineStr">
        <is>
          <t>Memo: net burn (positive = burning cash)</t>
        </is>
      </c>
      <c r="B29" s="2" t="n"/>
      <c r="C29" s="38">
        <f>MAX(0,-C28)</f>
        <v/>
      </c>
      <c r="D29" s="38">
        <f>MAX(0,-D28)</f>
        <v/>
      </c>
      <c r="E29" s="38">
        <f>MAX(0,-E28)</f>
        <v/>
      </c>
      <c r="F29" s="38">
        <f>MAX(0,-F28)</f>
        <v/>
      </c>
      <c r="G29" s="38">
        <f>MAX(0,-G28)</f>
        <v/>
      </c>
      <c r="H29" s="38">
        <f>MAX(0,-H28)</f>
        <v/>
      </c>
      <c r="I29" s="38">
        <f>MAX(0,-I28)</f>
        <v/>
      </c>
      <c r="J29" s="38">
        <f>MAX(0,-J28)</f>
        <v/>
      </c>
      <c r="K29" s="38">
        <f>MAX(0,-K28)</f>
        <v/>
      </c>
      <c r="L29" s="38">
        <f>MAX(0,-L28)</f>
        <v/>
      </c>
      <c r="M29" s="38">
        <f>MAX(0,-M28)</f>
        <v/>
      </c>
      <c r="N29" s="38">
        <f>MAX(0,-N28)</f>
        <v/>
      </c>
      <c r="O29" s="39">
        <f>SUM(C29:N29)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42" t="inlineStr">
        <is>
          <t>Supporting schedule – working capital balances (end of month)</t>
        </is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</row>
    <row r="33">
      <c r="A33" s="5" t="inlineStr">
        <is>
          <t>DSO (days, linear path to scenario Month-12 value)</t>
        </is>
      </c>
      <c r="B33" s="50">
        <f>Assumptions!$C$38</f>
        <v/>
      </c>
      <c r="C33" s="51">
        <f>Assumptions!$C$38+(Assumptions!$C$15-Assumptions!$C$38)*(C$4-1)/11</f>
        <v/>
      </c>
      <c r="D33" s="51">
        <f>Assumptions!$C$38+(Assumptions!$C$15-Assumptions!$C$38)*(D$4-1)/11</f>
        <v/>
      </c>
      <c r="E33" s="51">
        <f>Assumptions!$C$38+(Assumptions!$C$15-Assumptions!$C$38)*(E$4-1)/11</f>
        <v/>
      </c>
      <c r="F33" s="51">
        <f>Assumptions!$C$38+(Assumptions!$C$15-Assumptions!$C$38)*(F$4-1)/11</f>
        <v/>
      </c>
      <c r="G33" s="51">
        <f>Assumptions!$C$38+(Assumptions!$C$15-Assumptions!$C$38)*(G$4-1)/11</f>
        <v/>
      </c>
      <c r="H33" s="51">
        <f>Assumptions!$C$38+(Assumptions!$C$15-Assumptions!$C$38)*(H$4-1)/11</f>
        <v/>
      </c>
      <c r="I33" s="51">
        <f>Assumptions!$C$38+(Assumptions!$C$15-Assumptions!$C$38)*(I$4-1)/11</f>
        <v/>
      </c>
      <c r="J33" s="51">
        <f>Assumptions!$C$38+(Assumptions!$C$15-Assumptions!$C$38)*(J$4-1)/11</f>
        <v/>
      </c>
      <c r="K33" s="51">
        <f>Assumptions!$C$38+(Assumptions!$C$15-Assumptions!$C$38)*(K$4-1)/11</f>
        <v/>
      </c>
      <c r="L33" s="51">
        <f>Assumptions!$C$38+(Assumptions!$C$15-Assumptions!$C$38)*(L$4-1)/11</f>
        <v/>
      </c>
      <c r="M33" s="51">
        <f>Assumptions!$C$38+(Assumptions!$C$15-Assumptions!$C$38)*(M$4-1)/11</f>
        <v/>
      </c>
      <c r="N33" s="51">
        <f>Assumptions!$C$38+(Assumptions!$C$15-Assumptions!$C$38)*(N$4-1)/11</f>
        <v/>
      </c>
      <c r="O33" s="52" t="n"/>
    </row>
    <row r="34">
      <c r="A34" s="5" t="inlineStr">
        <is>
          <t>Accounts receivable (revenue × DSO / 30)</t>
        </is>
      </c>
      <c r="B34" s="27">
        <f>Assumptions!$C$20*Assumptions!$C$38/30</f>
        <v/>
      </c>
      <c r="C34" s="38">
        <f>'P&amp;L'!C8*C33/30</f>
        <v/>
      </c>
      <c r="D34" s="38">
        <f>'P&amp;L'!D8*D33/30</f>
        <v/>
      </c>
      <c r="E34" s="38">
        <f>'P&amp;L'!E8*E33/30</f>
        <v/>
      </c>
      <c r="F34" s="38">
        <f>'P&amp;L'!F8*F33/30</f>
        <v/>
      </c>
      <c r="G34" s="38">
        <f>'P&amp;L'!G8*G33/30</f>
        <v/>
      </c>
      <c r="H34" s="38">
        <f>'P&amp;L'!H8*H33/30</f>
        <v/>
      </c>
      <c r="I34" s="38">
        <f>'P&amp;L'!I8*I33/30</f>
        <v/>
      </c>
      <c r="J34" s="38">
        <f>'P&amp;L'!J8*J33/30</f>
        <v/>
      </c>
      <c r="K34" s="38">
        <f>'P&amp;L'!K8*K33/30</f>
        <v/>
      </c>
      <c r="L34" s="38">
        <f>'P&amp;L'!L8*L33/30</f>
        <v/>
      </c>
      <c r="M34" s="38">
        <f>'P&amp;L'!M8*M33/30</f>
        <v/>
      </c>
      <c r="N34" s="38">
        <f>'P&amp;L'!N8*N33/30</f>
        <v/>
      </c>
      <c r="O34" s="39">
        <f>N34</f>
        <v/>
      </c>
    </row>
    <row r="35">
      <c r="A35" s="5" t="inlineStr">
        <is>
          <t>Accounts payable ((COGS + overhead) × AP days / 30)</t>
        </is>
      </c>
      <c r="B35" s="27">
        <f>-('P&amp;L'!C11+'P&amp;L'!C18)*Assumptions!$C$39/30</f>
        <v/>
      </c>
      <c r="C35" s="38">
        <f>-('P&amp;L'!C11+'P&amp;L'!C18)*Assumptions!$C$39/30</f>
        <v/>
      </c>
      <c r="D35" s="38">
        <f>-('P&amp;L'!D11+'P&amp;L'!D18)*Assumptions!$C$39/30</f>
        <v/>
      </c>
      <c r="E35" s="38">
        <f>-('P&amp;L'!E11+'P&amp;L'!E18)*Assumptions!$C$39/30</f>
        <v/>
      </c>
      <c r="F35" s="38">
        <f>-('P&amp;L'!F11+'P&amp;L'!F18)*Assumptions!$C$39/30</f>
        <v/>
      </c>
      <c r="G35" s="38">
        <f>-('P&amp;L'!G11+'P&amp;L'!G18)*Assumptions!$C$39/30</f>
        <v/>
      </c>
      <c r="H35" s="38">
        <f>-('P&amp;L'!H11+'P&amp;L'!H18)*Assumptions!$C$39/30</f>
        <v/>
      </c>
      <c r="I35" s="38">
        <f>-('P&amp;L'!I11+'P&amp;L'!I18)*Assumptions!$C$39/30</f>
        <v/>
      </c>
      <c r="J35" s="38">
        <f>-('P&amp;L'!J11+'P&amp;L'!J18)*Assumptions!$C$39/30</f>
        <v/>
      </c>
      <c r="K35" s="38">
        <f>-('P&amp;L'!K11+'P&amp;L'!K18)*Assumptions!$C$39/30</f>
        <v/>
      </c>
      <c r="L35" s="38">
        <f>-('P&amp;L'!L11+'P&amp;L'!L18)*Assumptions!$C$39/30</f>
        <v/>
      </c>
      <c r="M35" s="38">
        <f>-('P&amp;L'!M11+'P&amp;L'!M18)*Assumptions!$C$39/30</f>
        <v/>
      </c>
      <c r="N35" s="38">
        <f>-('P&amp;L'!N11+'P&amp;L'!N18)*Assumptions!$C$39/30</f>
        <v/>
      </c>
      <c r="O35" s="39">
        <f>N35</f>
        <v/>
      </c>
    </row>
    <row r="36">
      <c r="A36" s="5" t="inlineStr">
        <is>
          <t>Income tax payable (current month, paid next month)</t>
        </is>
      </c>
      <c r="B36" s="27">
        <f>-'P&amp;L'!C30</f>
        <v/>
      </c>
      <c r="C36" s="38">
        <f>-'P&amp;L'!C30</f>
        <v/>
      </c>
      <c r="D36" s="38">
        <f>-'P&amp;L'!D30</f>
        <v/>
      </c>
      <c r="E36" s="38">
        <f>-'P&amp;L'!E30</f>
        <v/>
      </c>
      <c r="F36" s="38">
        <f>-'P&amp;L'!F30</f>
        <v/>
      </c>
      <c r="G36" s="38">
        <f>-'P&amp;L'!G30</f>
        <v/>
      </c>
      <c r="H36" s="38">
        <f>-'P&amp;L'!H30</f>
        <v/>
      </c>
      <c r="I36" s="38">
        <f>-'P&amp;L'!I30</f>
        <v/>
      </c>
      <c r="J36" s="38">
        <f>-'P&amp;L'!J30</f>
        <v/>
      </c>
      <c r="K36" s="38">
        <f>-'P&amp;L'!K30</f>
        <v/>
      </c>
      <c r="L36" s="38">
        <f>-'P&amp;L'!L30</f>
        <v/>
      </c>
      <c r="M36" s="38">
        <f>-'P&amp;L'!M30</f>
        <v/>
      </c>
      <c r="N36" s="38">
        <f>-'P&amp;L'!N30</f>
        <v/>
      </c>
      <c r="O36" s="39">
        <f>N36</f>
        <v/>
      </c>
    </row>
    <row r="37">
      <c r="A37" s="5" t="inlineStr">
        <is>
          <t>Net PP&amp;E (cumulative capex − depreciation)</t>
        </is>
      </c>
      <c r="B37" s="27" t="n">
        <v>0</v>
      </c>
      <c r="C37" s="38">
        <f>B37+Headcount!C54+'P&amp;L'!C26</f>
        <v/>
      </c>
      <c r="D37" s="38">
        <f>C37+Headcount!D54+'P&amp;L'!D26</f>
        <v/>
      </c>
      <c r="E37" s="38">
        <f>D37+Headcount!E54+'P&amp;L'!E26</f>
        <v/>
      </c>
      <c r="F37" s="38">
        <f>E37+Headcount!F54+'P&amp;L'!F26</f>
        <v/>
      </c>
      <c r="G37" s="38">
        <f>F37+Headcount!G54+'P&amp;L'!G26</f>
        <v/>
      </c>
      <c r="H37" s="38">
        <f>G37+Headcount!H54+'P&amp;L'!H26</f>
        <v/>
      </c>
      <c r="I37" s="38">
        <f>H37+Headcount!I54+'P&amp;L'!I26</f>
        <v/>
      </c>
      <c r="J37" s="38">
        <f>I37+Headcount!J54+'P&amp;L'!J26</f>
        <v/>
      </c>
      <c r="K37" s="38">
        <f>J37+Headcount!K54+'P&amp;L'!K26</f>
        <v/>
      </c>
      <c r="L37" s="38">
        <f>K37+Headcount!L54+'P&amp;L'!L26</f>
        <v/>
      </c>
      <c r="M37" s="38">
        <f>L37+Headcount!M54+'P&amp;L'!M26</f>
        <v/>
      </c>
      <c r="N37" s="38">
        <f>M37+Headcount!N54+'P&amp;L'!N26</f>
        <v/>
      </c>
      <c r="O37" s="39">
        <f>N37</f>
        <v/>
      </c>
    </row>
    <row r="38">
      <c r="A38" s="5" t="inlineStr">
        <is>
          <t>Loan balance (USD)</t>
        </is>
      </c>
      <c r="B38" s="27" t="n">
        <v>0</v>
      </c>
      <c r="C38" s="38">
        <f>INDEX(Loan!$L$6:$L$29,C$4)*Assumptions!$C$7</f>
        <v/>
      </c>
      <c r="D38" s="38">
        <f>INDEX(Loan!$L$6:$L$29,D$4)*Assumptions!$C$7</f>
        <v/>
      </c>
      <c r="E38" s="38">
        <f>INDEX(Loan!$L$6:$L$29,E$4)*Assumptions!$C$7</f>
        <v/>
      </c>
      <c r="F38" s="38">
        <f>INDEX(Loan!$L$6:$L$29,F$4)*Assumptions!$C$7</f>
        <v/>
      </c>
      <c r="G38" s="38">
        <f>INDEX(Loan!$L$6:$L$29,G$4)*Assumptions!$C$7</f>
        <v/>
      </c>
      <c r="H38" s="38">
        <f>INDEX(Loan!$L$6:$L$29,H$4)*Assumptions!$C$7</f>
        <v/>
      </c>
      <c r="I38" s="38">
        <f>INDEX(Loan!$L$6:$L$29,I$4)*Assumptions!$C$7</f>
        <v/>
      </c>
      <c r="J38" s="38">
        <f>INDEX(Loan!$L$6:$L$29,J$4)*Assumptions!$C$7</f>
        <v/>
      </c>
      <c r="K38" s="38">
        <f>INDEX(Loan!$L$6:$L$29,K$4)*Assumptions!$C$7</f>
        <v/>
      </c>
      <c r="L38" s="38">
        <f>INDEX(Loan!$L$6:$L$29,L$4)*Assumptions!$C$7</f>
        <v/>
      </c>
      <c r="M38" s="38">
        <f>INDEX(Loan!$L$6:$L$29,M$4)*Assumptions!$C$7</f>
        <v/>
      </c>
      <c r="N38" s="38">
        <f>INDEX(Loan!$L$6:$L$29,N$4)*Assumptions!$C$7</f>
        <v/>
      </c>
      <c r="O38" s="39">
        <f>N38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42" t="inlineStr">
        <is>
          <t>Balance sheet integrity check (assets − liabilities − equity must be zero)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</row>
    <row r="41">
      <c r="A41" s="5" t="inlineStr">
        <is>
          <t>Total assets (cash + AR + net PP&amp;E)</t>
        </is>
      </c>
      <c r="B41" s="27">
        <f>Assumptions!$C$37+B34+B37</f>
        <v/>
      </c>
      <c r="C41" s="38">
        <f>C26+C34+C37</f>
        <v/>
      </c>
      <c r="D41" s="38">
        <f>D26+D34+D37</f>
        <v/>
      </c>
      <c r="E41" s="38">
        <f>E26+E34+E37</f>
        <v/>
      </c>
      <c r="F41" s="38">
        <f>F26+F34+F37</f>
        <v/>
      </c>
      <c r="G41" s="38">
        <f>G26+G34+G37</f>
        <v/>
      </c>
      <c r="H41" s="38">
        <f>H26+H34+H37</f>
        <v/>
      </c>
      <c r="I41" s="38">
        <f>I26+I34+I37</f>
        <v/>
      </c>
      <c r="J41" s="38">
        <f>J26+J34+J37</f>
        <v/>
      </c>
      <c r="K41" s="38">
        <f>K26+K34+K37</f>
        <v/>
      </c>
      <c r="L41" s="38">
        <f>L26+L34+L37</f>
        <v/>
      </c>
      <c r="M41" s="38">
        <f>M26+M34+M37</f>
        <v/>
      </c>
      <c r="N41" s="38">
        <f>N26+N34+N37</f>
        <v/>
      </c>
      <c r="O41" s="39">
        <f>N41</f>
        <v/>
      </c>
    </row>
    <row r="42">
      <c r="A42" s="5" t="inlineStr">
        <is>
          <t>Total liabilities (AP + tax payable + loan)</t>
        </is>
      </c>
      <c r="B42" s="27">
        <f>B35+B36+B38</f>
        <v/>
      </c>
      <c r="C42" s="38">
        <f>C35+C36+C38</f>
        <v/>
      </c>
      <c r="D42" s="38">
        <f>D35+D36+D38</f>
        <v/>
      </c>
      <c r="E42" s="38">
        <f>E35+E36+E38</f>
        <v/>
      </c>
      <c r="F42" s="38">
        <f>F35+F36+F38</f>
        <v/>
      </c>
      <c r="G42" s="38">
        <f>G35+G36+G38</f>
        <v/>
      </c>
      <c r="H42" s="38">
        <f>H35+H36+H38</f>
        <v/>
      </c>
      <c r="I42" s="38">
        <f>I35+I36+I38</f>
        <v/>
      </c>
      <c r="J42" s="38">
        <f>J35+J36+J38</f>
        <v/>
      </c>
      <c r="K42" s="38">
        <f>K35+K36+K38</f>
        <v/>
      </c>
      <c r="L42" s="38">
        <f>L35+L36+L38</f>
        <v/>
      </c>
      <c r="M42" s="38">
        <f>M35+M36+M38</f>
        <v/>
      </c>
      <c r="N42" s="38">
        <f>N35+N36+N38</f>
        <v/>
      </c>
      <c r="O42" s="39">
        <f>N42</f>
        <v/>
      </c>
    </row>
    <row r="43">
      <c r="A43" s="5" t="inlineStr">
        <is>
          <t>Equity (opening + cumulative net income)</t>
        </is>
      </c>
      <c r="B43" s="27">
        <f>B41-B42</f>
        <v/>
      </c>
      <c r="C43" s="38">
        <f>B43+C8</f>
        <v/>
      </c>
      <c r="D43" s="38">
        <f>C43+D8</f>
        <v/>
      </c>
      <c r="E43" s="38">
        <f>D43+E8</f>
        <v/>
      </c>
      <c r="F43" s="38">
        <f>E43+F8</f>
        <v/>
      </c>
      <c r="G43" s="38">
        <f>F43+G8</f>
        <v/>
      </c>
      <c r="H43" s="38">
        <f>G43+H8</f>
        <v/>
      </c>
      <c r="I43" s="38">
        <f>H43+I8</f>
        <v/>
      </c>
      <c r="J43" s="38">
        <f>I43+J8</f>
        <v/>
      </c>
      <c r="K43" s="38">
        <f>J43+K8</f>
        <v/>
      </c>
      <c r="L43" s="38">
        <f>K43+L8</f>
        <v/>
      </c>
      <c r="M43" s="38">
        <f>L43+M8</f>
        <v/>
      </c>
      <c r="N43" s="38">
        <f>M43+N8</f>
        <v/>
      </c>
      <c r="O43" s="39">
        <f>N43</f>
        <v/>
      </c>
    </row>
    <row r="44">
      <c r="A44" s="17" t="inlineStr">
        <is>
          <t>Check (should be 0)</t>
        </is>
      </c>
      <c r="B44" s="2" t="n"/>
      <c r="C44" s="21">
        <f>ROUND(C41-C42-C43,2)</f>
        <v/>
      </c>
      <c r="D44" s="21">
        <f>ROUND(D41-D42-D43,2)</f>
        <v/>
      </c>
      <c r="E44" s="21">
        <f>ROUND(E41-E42-E43,2)</f>
        <v/>
      </c>
      <c r="F44" s="21">
        <f>ROUND(F41-F42-F43,2)</f>
        <v/>
      </c>
      <c r="G44" s="21">
        <f>ROUND(G41-G42-G43,2)</f>
        <v/>
      </c>
      <c r="H44" s="21">
        <f>ROUND(H41-H42-H43,2)</f>
        <v/>
      </c>
      <c r="I44" s="21">
        <f>ROUND(I41-I42-I43,2)</f>
        <v/>
      </c>
      <c r="J44" s="21">
        <f>ROUND(J41-J42-J43,2)</f>
        <v/>
      </c>
      <c r="K44" s="21">
        <f>ROUND(K41-K42-K43,2)</f>
        <v/>
      </c>
      <c r="L44" s="21">
        <f>ROUND(L41-L42-L43,2)</f>
        <v/>
      </c>
      <c r="M44" s="21">
        <f>ROUND(M41-M42-M43,2)</f>
        <v/>
      </c>
      <c r="N44" s="21">
        <f>ROUND(N41-N42-N43,2)</f>
        <v/>
      </c>
      <c r="O44" s="39">
        <f>N44</f>
        <v/>
      </c>
    </row>
  </sheetData>
  <conditionalFormatting sqref="C44:O44">
    <cfRule type="cellIs" priority="1" operator="notEqual" dxfId="1">
      <formula>0</formula>
    </cfRule>
  </conditionalFormatting>
  <conditionalFormatting sqref="C26:O26">
    <cfRule type="cellIs" priority="2" operator="lessThan" dxfId="0">
      <formula>0</formula>
    </cfRule>
  </conditionalFormatting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O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Cash burn &amp; runway – with vs. without the €500k loan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Both cases computed in parallel for the active operating scenario (Assumptions!C6). Runway = months until cash &lt; 0; beyond Month 12 extrapolated on the average burn of Months 10–12.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1">
        <f>"Operating scenario: "&amp;Assumptions!$D$6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30" t="inlineStr">
        <is>
          <t>Month #</t>
        </is>
      </c>
      <c r="B4" s="31" t="inlineStr">
        <is>
          <t>Opening</t>
        </is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inlineStr">
        <is>
          <t>FY total</t>
        </is>
      </c>
    </row>
    <row r="5">
      <c r="A5" s="30" t="inlineStr">
        <is>
          <t>USD unless stated</t>
        </is>
      </c>
      <c r="B5" s="31" t="n"/>
      <c r="C5" s="32">
        <f>EDATE(Assumptions!$C$5,C$4-1)</f>
        <v/>
      </c>
      <c r="D5" s="32">
        <f>EDATE(Assumptions!$C$5,D$4-1)</f>
        <v/>
      </c>
      <c r="E5" s="32">
        <f>EDATE(Assumptions!$C$5,E$4-1)</f>
        <v/>
      </c>
      <c r="F5" s="32">
        <f>EDATE(Assumptions!$C$5,F$4-1)</f>
        <v/>
      </c>
      <c r="G5" s="32">
        <f>EDATE(Assumptions!$C$5,G$4-1)</f>
        <v/>
      </c>
      <c r="H5" s="32">
        <f>EDATE(Assumptions!$C$5,H$4-1)</f>
        <v/>
      </c>
      <c r="I5" s="32">
        <f>EDATE(Assumptions!$C$5,I$4-1)</f>
        <v/>
      </c>
      <c r="J5" s="32">
        <f>EDATE(Assumptions!$C$5,J$4-1)</f>
        <v/>
      </c>
      <c r="K5" s="32">
        <f>EDATE(Assumptions!$C$5,K$4-1)</f>
        <v/>
      </c>
      <c r="L5" s="32">
        <f>EDATE(Assumptions!$C$5,L$4-1)</f>
        <v/>
      </c>
      <c r="M5" s="32">
        <f>EDATE(Assumptions!$C$5,M$4-1)</f>
        <v/>
      </c>
      <c r="N5" s="32">
        <f>EDATE(Assumptions!$C$5,N$4-1)</f>
        <v/>
      </c>
      <c r="O5" s="31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42" t="inlineStr">
        <is>
          <t>Case A – Base plan WITHOUT loan</t>
        </is>
      </c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</row>
    <row r="8">
      <c r="A8" s="5" t="inlineStr">
        <is>
          <t>Net income</t>
        </is>
      </c>
      <c r="B8" s="2" t="n"/>
      <c r="C8" s="38">
        <f>'P&amp;L'!C38</f>
        <v/>
      </c>
      <c r="D8" s="38">
        <f>'P&amp;L'!D38</f>
        <v/>
      </c>
      <c r="E8" s="38">
        <f>'P&amp;L'!E38</f>
        <v/>
      </c>
      <c r="F8" s="38">
        <f>'P&amp;L'!F38</f>
        <v/>
      </c>
      <c r="G8" s="38">
        <f>'P&amp;L'!G38</f>
        <v/>
      </c>
      <c r="H8" s="38">
        <f>'P&amp;L'!H38</f>
        <v/>
      </c>
      <c r="I8" s="38">
        <f>'P&amp;L'!I38</f>
        <v/>
      </c>
      <c r="J8" s="38">
        <f>'P&amp;L'!J38</f>
        <v/>
      </c>
      <c r="K8" s="38">
        <f>'P&amp;L'!K38</f>
        <v/>
      </c>
      <c r="L8" s="38">
        <f>'P&amp;L'!L38</f>
        <v/>
      </c>
      <c r="M8" s="38">
        <f>'P&amp;L'!M38</f>
        <v/>
      </c>
      <c r="N8" s="38">
        <f>'P&amp;L'!N38</f>
        <v/>
      </c>
      <c r="O8" s="39">
        <f>SUM(C8:N8)</f>
        <v/>
      </c>
    </row>
    <row r="9">
      <c r="A9" s="5" t="inlineStr">
        <is>
          <t>+ D&amp;A and working-capital movements (AR, AP)</t>
        </is>
      </c>
      <c r="B9" s="2" t="n"/>
      <c r="C9" s="38">
        <f>'Cash Flow'!C9+'Cash Flow'!C10+'Cash Flow'!C11</f>
        <v/>
      </c>
      <c r="D9" s="38">
        <f>'Cash Flow'!D9+'Cash Flow'!D10+'Cash Flow'!D11</f>
        <v/>
      </c>
      <c r="E9" s="38">
        <f>'Cash Flow'!E9+'Cash Flow'!E10+'Cash Flow'!E11</f>
        <v/>
      </c>
      <c r="F9" s="38">
        <f>'Cash Flow'!F9+'Cash Flow'!F10+'Cash Flow'!F11</f>
        <v/>
      </c>
      <c r="G9" s="38">
        <f>'Cash Flow'!G9+'Cash Flow'!G10+'Cash Flow'!G11</f>
        <v/>
      </c>
      <c r="H9" s="38">
        <f>'Cash Flow'!H9+'Cash Flow'!H10+'Cash Flow'!H11</f>
        <v/>
      </c>
      <c r="I9" s="38">
        <f>'Cash Flow'!I9+'Cash Flow'!I10+'Cash Flow'!I11</f>
        <v/>
      </c>
      <c r="J9" s="38">
        <f>'Cash Flow'!J9+'Cash Flow'!J10+'Cash Flow'!J11</f>
        <v/>
      </c>
      <c r="K9" s="38">
        <f>'Cash Flow'!K9+'Cash Flow'!K10+'Cash Flow'!K11</f>
        <v/>
      </c>
      <c r="L9" s="38">
        <f>'Cash Flow'!L9+'Cash Flow'!L10+'Cash Flow'!L11</f>
        <v/>
      </c>
      <c r="M9" s="38">
        <f>'Cash Flow'!M9+'Cash Flow'!M10+'Cash Flow'!M11</f>
        <v/>
      </c>
      <c r="N9" s="38">
        <f>'Cash Flow'!N9+'Cash Flow'!N10+'Cash Flow'!N11</f>
        <v/>
      </c>
      <c r="O9" s="39">
        <f>SUM(C9:N9)</f>
        <v/>
      </c>
    </row>
    <row r="10">
      <c r="A10" s="5" t="inlineStr">
        <is>
          <t>+ Increase in tax payable</t>
        </is>
      </c>
      <c r="B10" s="2" t="n"/>
      <c r="C10" s="38">
        <f>0</f>
        <v/>
      </c>
      <c r="D10" s="38">
        <f>-'P&amp;L'!D36+'P&amp;L'!C36</f>
        <v/>
      </c>
      <c r="E10" s="38">
        <f>-'P&amp;L'!E36+'P&amp;L'!D36</f>
        <v/>
      </c>
      <c r="F10" s="38">
        <f>-'P&amp;L'!F36+'P&amp;L'!E36</f>
        <v/>
      </c>
      <c r="G10" s="38">
        <f>-'P&amp;L'!G36+'P&amp;L'!F36</f>
        <v/>
      </c>
      <c r="H10" s="38">
        <f>-'P&amp;L'!H36+'P&amp;L'!G36</f>
        <v/>
      </c>
      <c r="I10" s="38">
        <f>-'P&amp;L'!I36+'P&amp;L'!H36</f>
        <v/>
      </c>
      <c r="J10" s="38">
        <f>-'P&amp;L'!J36+'P&amp;L'!I36</f>
        <v/>
      </c>
      <c r="K10" s="38">
        <f>-'P&amp;L'!K36+'P&amp;L'!J36</f>
        <v/>
      </c>
      <c r="L10" s="38">
        <f>-'P&amp;L'!L36+'P&amp;L'!K36</f>
        <v/>
      </c>
      <c r="M10" s="38">
        <f>-'P&amp;L'!M36+'P&amp;L'!L36</f>
        <v/>
      </c>
      <c r="N10" s="38">
        <f>-'P&amp;L'!N36+'P&amp;L'!M36</f>
        <v/>
      </c>
      <c r="O10" s="39">
        <f>SUM(C10:N10)</f>
        <v/>
      </c>
    </row>
    <row r="11">
      <c r="A11" s="5" t="inlineStr">
        <is>
          <t>− Capex</t>
        </is>
      </c>
      <c r="B11" s="2" t="n"/>
      <c r="C11" s="38">
        <f>'Cash Flow'!C16</f>
        <v/>
      </c>
      <c r="D11" s="38">
        <f>'Cash Flow'!D16</f>
        <v/>
      </c>
      <c r="E11" s="38">
        <f>'Cash Flow'!E16</f>
        <v/>
      </c>
      <c r="F11" s="38">
        <f>'Cash Flow'!F16</f>
        <v/>
      </c>
      <c r="G11" s="38">
        <f>'Cash Flow'!G16</f>
        <v/>
      </c>
      <c r="H11" s="38">
        <f>'Cash Flow'!H16</f>
        <v/>
      </c>
      <c r="I11" s="38">
        <f>'Cash Flow'!I16</f>
        <v/>
      </c>
      <c r="J11" s="38">
        <f>'Cash Flow'!J16</f>
        <v/>
      </c>
      <c r="K11" s="38">
        <f>'Cash Flow'!K16</f>
        <v/>
      </c>
      <c r="L11" s="38">
        <f>'Cash Flow'!L16</f>
        <v/>
      </c>
      <c r="M11" s="38">
        <f>'Cash Flow'!M16</f>
        <v/>
      </c>
      <c r="N11" s="38">
        <f>'Cash Flow'!N16</f>
        <v/>
      </c>
      <c r="O11" s="39">
        <f>SUM(C11:N11)</f>
        <v/>
      </c>
    </row>
    <row r="12">
      <c r="A12" s="35" t="inlineStr">
        <is>
          <t>Free cash flow (pre-financing)</t>
        </is>
      </c>
      <c r="B12" s="45" t="n"/>
      <c r="C12" s="40">
        <f>SUM(C8:C11)</f>
        <v/>
      </c>
      <c r="D12" s="40">
        <f>SUM(D8:D11)</f>
        <v/>
      </c>
      <c r="E12" s="40">
        <f>SUM(E8:E11)</f>
        <v/>
      </c>
      <c r="F12" s="40">
        <f>SUM(F8:F11)</f>
        <v/>
      </c>
      <c r="G12" s="40">
        <f>SUM(G8:G11)</f>
        <v/>
      </c>
      <c r="H12" s="40">
        <f>SUM(H8:H11)</f>
        <v/>
      </c>
      <c r="I12" s="40">
        <f>SUM(I8:I11)</f>
        <v/>
      </c>
      <c r="J12" s="40">
        <f>SUM(J8:J11)</f>
        <v/>
      </c>
      <c r="K12" s="40">
        <f>SUM(K8:K11)</f>
        <v/>
      </c>
      <c r="L12" s="40">
        <f>SUM(L8:L11)</f>
        <v/>
      </c>
      <c r="M12" s="40">
        <f>SUM(M8:M11)</f>
        <v/>
      </c>
      <c r="N12" s="40">
        <f>SUM(N8:N11)</f>
        <v/>
      </c>
      <c r="O12" s="29">
        <f>SUM(C12:N12)</f>
        <v/>
      </c>
    </row>
    <row r="13">
      <c r="A13" s="5" t="inlineStr">
        <is>
          <t>Loan cash flows</t>
        </is>
      </c>
      <c r="B13" s="2" t="n"/>
      <c r="C13" s="38">
        <f>0</f>
        <v/>
      </c>
      <c r="D13" s="38">
        <f>0</f>
        <v/>
      </c>
      <c r="E13" s="38">
        <f>0</f>
        <v/>
      </c>
      <c r="F13" s="38">
        <f>0</f>
        <v/>
      </c>
      <c r="G13" s="38">
        <f>0</f>
        <v/>
      </c>
      <c r="H13" s="38">
        <f>0</f>
        <v/>
      </c>
      <c r="I13" s="38">
        <f>0</f>
        <v/>
      </c>
      <c r="J13" s="38">
        <f>0</f>
        <v/>
      </c>
      <c r="K13" s="38">
        <f>0</f>
        <v/>
      </c>
      <c r="L13" s="38">
        <f>0</f>
        <v/>
      </c>
      <c r="M13" s="38">
        <f>0</f>
        <v/>
      </c>
      <c r="N13" s="38">
        <f>0</f>
        <v/>
      </c>
      <c r="O13" s="39">
        <f>SUM(C13:N13)</f>
        <v/>
      </c>
    </row>
    <row r="14">
      <c r="A14" s="17" t="inlineStr">
        <is>
          <t>Net cash flow</t>
        </is>
      </c>
      <c r="B14" s="2" t="n"/>
      <c r="C14" s="21">
        <f>C12+C13</f>
        <v/>
      </c>
      <c r="D14" s="21">
        <f>D12+D13</f>
        <v/>
      </c>
      <c r="E14" s="21">
        <f>E12+E13</f>
        <v/>
      </c>
      <c r="F14" s="21">
        <f>F12+F13</f>
        <v/>
      </c>
      <c r="G14" s="21">
        <f>G12+G13</f>
        <v/>
      </c>
      <c r="H14" s="21">
        <f>H12+H13</f>
        <v/>
      </c>
      <c r="I14" s="21">
        <f>I12+I13</f>
        <v/>
      </c>
      <c r="J14" s="21">
        <f>J12+J13</f>
        <v/>
      </c>
      <c r="K14" s="21">
        <f>K12+K13</f>
        <v/>
      </c>
      <c r="L14" s="21">
        <f>L12+L13</f>
        <v/>
      </c>
      <c r="M14" s="21">
        <f>M12+M13</f>
        <v/>
      </c>
      <c r="N14" s="21">
        <f>N12+N13</f>
        <v/>
      </c>
      <c r="O14" s="39">
        <f>SUM(C14:N14)</f>
        <v/>
      </c>
    </row>
    <row r="15">
      <c r="A15" s="5" t="inlineStr">
        <is>
          <t>Monthly net burn (positive = burning; negative = generating)</t>
        </is>
      </c>
      <c r="B15" s="2" t="n"/>
      <c r="C15" s="38">
        <f>-C14</f>
        <v/>
      </c>
      <c r="D15" s="38">
        <f>-D14</f>
        <v/>
      </c>
      <c r="E15" s="38">
        <f>-E14</f>
        <v/>
      </c>
      <c r="F15" s="38">
        <f>-F14</f>
        <v/>
      </c>
      <c r="G15" s="38">
        <f>-G14</f>
        <v/>
      </c>
      <c r="H15" s="38">
        <f>-H14</f>
        <v/>
      </c>
      <c r="I15" s="38">
        <f>-I14</f>
        <v/>
      </c>
      <c r="J15" s="38">
        <f>-J14</f>
        <v/>
      </c>
      <c r="K15" s="38">
        <f>-K14</f>
        <v/>
      </c>
      <c r="L15" s="38">
        <f>-L14</f>
        <v/>
      </c>
      <c r="M15" s="38">
        <f>-M14</f>
        <v/>
      </c>
      <c r="N15" s="38">
        <f>-N14</f>
        <v/>
      </c>
      <c r="O15" s="39">
        <f>SUM(C15:N15)</f>
        <v/>
      </c>
    </row>
    <row r="16">
      <c r="A16" s="46" t="inlineStr">
        <is>
          <t>Closing cash</t>
        </is>
      </c>
      <c r="B16" s="53">
        <f>Assumptions!$C$37</f>
        <v/>
      </c>
      <c r="C16" s="48">
        <f>Assumptions!$C$37+C14</f>
        <v/>
      </c>
      <c r="D16" s="48">
        <f>C16+D14</f>
        <v/>
      </c>
      <c r="E16" s="48">
        <f>D16+E14</f>
        <v/>
      </c>
      <c r="F16" s="48">
        <f>E16+F14</f>
        <v/>
      </c>
      <c r="G16" s="48">
        <f>F16+G14</f>
        <v/>
      </c>
      <c r="H16" s="48">
        <f>G16+H14</f>
        <v/>
      </c>
      <c r="I16" s="48">
        <f>H16+I14</f>
        <v/>
      </c>
      <c r="J16" s="48">
        <f>I16+J14</f>
        <v/>
      </c>
      <c r="K16" s="48">
        <f>J16+K14</f>
        <v/>
      </c>
      <c r="L16" s="48">
        <f>K16+L14</f>
        <v/>
      </c>
      <c r="M16" s="48">
        <f>L16+M14</f>
        <v/>
      </c>
      <c r="N16" s="48">
        <f>M16+N14</f>
        <v/>
      </c>
      <c r="O16" s="49">
        <f>N16</f>
        <v/>
      </c>
    </row>
    <row r="17">
      <c r="A17" s="5" t="inlineStr">
        <is>
          <t>Cumulative net cash flow vs. Month 0</t>
        </is>
      </c>
      <c r="B17" s="2" t="n"/>
      <c r="C17" s="38">
        <f>C16-Assumptions!$C$37</f>
        <v/>
      </c>
      <c r="D17" s="38">
        <f>D16-Assumptions!$C$37</f>
        <v/>
      </c>
      <c r="E17" s="38">
        <f>E16-Assumptions!$C$37</f>
        <v/>
      </c>
      <c r="F17" s="38">
        <f>F16-Assumptions!$C$37</f>
        <v/>
      </c>
      <c r="G17" s="38">
        <f>G16-Assumptions!$C$37</f>
        <v/>
      </c>
      <c r="H17" s="38">
        <f>H16-Assumptions!$C$37</f>
        <v/>
      </c>
      <c r="I17" s="38">
        <f>I16-Assumptions!$C$37</f>
        <v/>
      </c>
      <c r="J17" s="38">
        <f>J16-Assumptions!$C$37</f>
        <v/>
      </c>
      <c r="K17" s="38">
        <f>K16-Assumptions!$C$37</f>
        <v/>
      </c>
      <c r="L17" s="38">
        <f>L16-Assumptions!$C$37</f>
        <v/>
      </c>
      <c r="M17" s="38">
        <f>M16-Assumptions!$C$37</f>
        <v/>
      </c>
      <c r="N17" s="38">
        <f>N16-Assumptions!$C$37</f>
        <v/>
      </c>
      <c r="O17" s="39">
        <f>N17</f>
        <v/>
      </c>
    </row>
    <row r="18">
      <c r="A18" s="5" t="inlineStr">
        <is>
          <t>Loan balance outstanding</t>
        </is>
      </c>
      <c r="B18" s="2" t="n"/>
      <c r="C18" s="38">
        <f>0</f>
        <v/>
      </c>
      <c r="D18" s="38">
        <f>0</f>
        <v/>
      </c>
      <c r="E18" s="38">
        <f>0</f>
        <v/>
      </c>
      <c r="F18" s="38">
        <f>0</f>
        <v/>
      </c>
      <c r="G18" s="38">
        <f>0</f>
        <v/>
      </c>
      <c r="H18" s="38">
        <f>0</f>
        <v/>
      </c>
      <c r="I18" s="38">
        <f>0</f>
        <v/>
      </c>
      <c r="J18" s="38">
        <f>0</f>
        <v/>
      </c>
      <c r="K18" s="38">
        <f>0</f>
        <v/>
      </c>
      <c r="L18" s="38">
        <f>0</f>
        <v/>
      </c>
      <c r="M18" s="38">
        <f>0</f>
        <v/>
      </c>
      <c r="N18" s="38">
        <f>0</f>
        <v/>
      </c>
      <c r="O18" s="39">
        <f>N18</f>
        <v/>
      </c>
    </row>
    <row r="19">
      <c r="A19" s="5" t="inlineStr">
        <is>
          <t>Net cash (cash − debt)</t>
        </is>
      </c>
      <c r="B19" s="2" t="n"/>
      <c r="C19" s="38">
        <f>C16-C18</f>
        <v/>
      </c>
      <c r="D19" s="38">
        <f>D16-D18</f>
        <v/>
      </c>
      <c r="E19" s="38">
        <f>E16-E18</f>
        <v/>
      </c>
      <c r="F19" s="38">
        <f>F16-F18</f>
        <v/>
      </c>
      <c r="G19" s="38">
        <f>G16-G18</f>
        <v/>
      </c>
      <c r="H19" s="38">
        <f>H16-H18</f>
        <v/>
      </c>
      <c r="I19" s="38">
        <f>I16-I18</f>
        <v/>
      </c>
      <c r="J19" s="38">
        <f>J16-J18</f>
        <v/>
      </c>
      <c r="K19" s="38">
        <f>K16-K18</f>
        <v/>
      </c>
      <c r="L19" s="38">
        <f>L16-L18</f>
        <v/>
      </c>
      <c r="M19" s="38">
        <f>M16-M18</f>
        <v/>
      </c>
      <c r="N19" s="38">
        <f>N16-N18</f>
        <v/>
      </c>
      <c r="O19" s="39">
        <f>N19</f>
        <v/>
      </c>
    </row>
    <row r="20">
      <c r="A20" s="5" t="inlineStr">
        <is>
          <t>Helper: cash-out point (months, interpolated)</t>
        </is>
      </c>
      <c r="B20" s="2" t="n"/>
      <c r="C20" s="54">
        <f>IF(AND(B16&gt;=0,C16&lt;0),(C$4-1)+B16/(B16-C16),"")</f>
        <v/>
      </c>
      <c r="D20" s="54">
        <f>IF(AND(C16&gt;=0,D16&lt;0),(D$4-1)+C16/(C16-D16),"")</f>
        <v/>
      </c>
      <c r="E20" s="54">
        <f>IF(AND(D16&gt;=0,E16&lt;0),(E$4-1)+D16/(D16-E16),"")</f>
        <v/>
      </c>
      <c r="F20" s="54">
        <f>IF(AND(E16&gt;=0,F16&lt;0),(F$4-1)+E16/(E16-F16),"")</f>
        <v/>
      </c>
      <c r="G20" s="54">
        <f>IF(AND(F16&gt;=0,G16&lt;0),(G$4-1)+F16/(F16-G16),"")</f>
        <v/>
      </c>
      <c r="H20" s="54">
        <f>IF(AND(G16&gt;=0,H16&lt;0),(H$4-1)+G16/(G16-H16),"")</f>
        <v/>
      </c>
      <c r="I20" s="54">
        <f>IF(AND(H16&gt;=0,I16&lt;0),(I$4-1)+H16/(H16-I16),"")</f>
        <v/>
      </c>
      <c r="J20" s="54">
        <f>IF(AND(I16&gt;=0,J16&lt;0),(J$4-1)+I16/(I16-J16),"")</f>
        <v/>
      </c>
      <c r="K20" s="54">
        <f>IF(AND(J16&gt;=0,K16&lt;0),(K$4-1)+J16/(J16-K16),"")</f>
        <v/>
      </c>
      <c r="L20" s="54">
        <f>IF(AND(K16&gt;=0,L16&lt;0),(L$4-1)+K16/(K16-L16),"")</f>
        <v/>
      </c>
      <c r="M20" s="54">
        <f>IF(AND(L16&gt;=0,M16&lt;0),(M$4-1)+L16/(L16-M16),"")</f>
        <v/>
      </c>
      <c r="N20" s="54">
        <f>IF(AND(M16&gt;=0,N16&lt;0),(N$4-1)+M16/(M16-N16),"")</f>
        <v/>
      </c>
      <c r="O20" s="5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42" t="inlineStr">
        <is>
          <t>Case B – Base plan WITH €500k loan</t>
        </is>
      </c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</row>
    <row r="24">
      <c r="A24" s="5" t="inlineStr">
        <is>
          <t>Net income</t>
        </is>
      </c>
      <c r="B24" s="2" t="n"/>
      <c r="C24" s="38">
        <f>'P&amp;L'!C39</f>
        <v/>
      </c>
      <c r="D24" s="38">
        <f>'P&amp;L'!D39</f>
        <v/>
      </c>
      <c r="E24" s="38">
        <f>'P&amp;L'!E39</f>
        <v/>
      </c>
      <c r="F24" s="38">
        <f>'P&amp;L'!F39</f>
        <v/>
      </c>
      <c r="G24" s="38">
        <f>'P&amp;L'!G39</f>
        <v/>
      </c>
      <c r="H24" s="38">
        <f>'P&amp;L'!H39</f>
        <v/>
      </c>
      <c r="I24" s="38">
        <f>'P&amp;L'!I39</f>
        <v/>
      </c>
      <c r="J24" s="38">
        <f>'P&amp;L'!J39</f>
        <v/>
      </c>
      <c r="K24" s="38">
        <f>'P&amp;L'!K39</f>
        <v/>
      </c>
      <c r="L24" s="38">
        <f>'P&amp;L'!L39</f>
        <v/>
      </c>
      <c r="M24" s="38">
        <f>'P&amp;L'!M39</f>
        <v/>
      </c>
      <c r="N24" s="38">
        <f>'P&amp;L'!N39</f>
        <v/>
      </c>
      <c r="O24" s="39">
        <f>SUM(C24:N24)</f>
        <v/>
      </c>
    </row>
    <row r="25">
      <c r="A25" s="5" t="inlineStr">
        <is>
          <t>+ D&amp;A and working-capital movements (AR, AP)</t>
        </is>
      </c>
      <c r="B25" s="2" t="n"/>
      <c r="C25" s="38">
        <f>'Cash Flow'!C9+'Cash Flow'!C10+'Cash Flow'!C11</f>
        <v/>
      </c>
      <c r="D25" s="38">
        <f>'Cash Flow'!D9+'Cash Flow'!D10+'Cash Flow'!D11</f>
        <v/>
      </c>
      <c r="E25" s="38">
        <f>'Cash Flow'!E9+'Cash Flow'!E10+'Cash Flow'!E11</f>
        <v/>
      </c>
      <c r="F25" s="38">
        <f>'Cash Flow'!F9+'Cash Flow'!F10+'Cash Flow'!F11</f>
        <v/>
      </c>
      <c r="G25" s="38">
        <f>'Cash Flow'!G9+'Cash Flow'!G10+'Cash Flow'!G11</f>
        <v/>
      </c>
      <c r="H25" s="38">
        <f>'Cash Flow'!H9+'Cash Flow'!H10+'Cash Flow'!H11</f>
        <v/>
      </c>
      <c r="I25" s="38">
        <f>'Cash Flow'!I9+'Cash Flow'!I10+'Cash Flow'!I11</f>
        <v/>
      </c>
      <c r="J25" s="38">
        <f>'Cash Flow'!J9+'Cash Flow'!J10+'Cash Flow'!J11</f>
        <v/>
      </c>
      <c r="K25" s="38">
        <f>'Cash Flow'!K9+'Cash Flow'!K10+'Cash Flow'!K11</f>
        <v/>
      </c>
      <c r="L25" s="38">
        <f>'Cash Flow'!L9+'Cash Flow'!L10+'Cash Flow'!L11</f>
        <v/>
      </c>
      <c r="M25" s="38">
        <f>'Cash Flow'!M9+'Cash Flow'!M10+'Cash Flow'!M11</f>
        <v/>
      </c>
      <c r="N25" s="38">
        <f>'Cash Flow'!N9+'Cash Flow'!N10+'Cash Flow'!N11</f>
        <v/>
      </c>
      <c r="O25" s="39">
        <f>SUM(C25:N25)</f>
        <v/>
      </c>
    </row>
    <row r="26">
      <c r="A26" s="5" t="inlineStr">
        <is>
          <t>+ Increase in tax payable</t>
        </is>
      </c>
      <c r="B26" s="2" t="n"/>
      <c r="C26" s="38">
        <f>0</f>
        <v/>
      </c>
      <c r="D26" s="38">
        <f>-'P&amp;L'!D37+'P&amp;L'!C37</f>
        <v/>
      </c>
      <c r="E26" s="38">
        <f>-'P&amp;L'!E37+'P&amp;L'!D37</f>
        <v/>
      </c>
      <c r="F26" s="38">
        <f>-'P&amp;L'!F37+'P&amp;L'!E37</f>
        <v/>
      </c>
      <c r="G26" s="38">
        <f>-'P&amp;L'!G37+'P&amp;L'!F37</f>
        <v/>
      </c>
      <c r="H26" s="38">
        <f>-'P&amp;L'!H37+'P&amp;L'!G37</f>
        <v/>
      </c>
      <c r="I26" s="38">
        <f>-'P&amp;L'!I37+'P&amp;L'!H37</f>
        <v/>
      </c>
      <c r="J26" s="38">
        <f>-'P&amp;L'!J37+'P&amp;L'!I37</f>
        <v/>
      </c>
      <c r="K26" s="38">
        <f>-'P&amp;L'!K37+'P&amp;L'!J37</f>
        <v/>
      </c>
      <c r="L26" s="38">
        <f>-'P&amp;L'!L37+'P&amp;L'!K37</f>
        <v/>
      </c>
      <c r="M26" s="38">
        <f>-'P&amp;L'!M37+'P&amp;L'!L37</f>
        <v/>
      </c>
      <c r="N26" s="38">
        <f>-'P&amp;L'!N37+'P&amp;L'!M37</f>
        <v/>
      </c>
      <c r="O26" s="39">
        <f>SUM(C26:N26)</f>
        <v/>
      </c>
    </row>
    <row r="27">
      <c r="A27" s="5" t="inlineStr">
        <is>
          <t>− Capex</t>
        </is>
      </c>
      <c r="B27" s="2" t="n"/>
      <c r="C27" s="38">
        <f>'Cash Flow'!C16</f>
        <v/>
      </c>
      <c r="D27" s="38">
        <f>'Cash Flow'!D16</f>
        <v/>
      </c>
      <c r="E27" s="38">
        <f>'Cash Flow'!E16</f>
        <v/>
      </c>
      <c r="F27" s="38">
        <f>'Cash Flow'!F16</f>
        <v/>
      </c>
      <c r="G27" s="38">
        <f>'Cash Flow'!G16</f>
        <v/>
      </c>
      <c r="H27" s="38">
        <f>'Cash Flow'!H16</f>
        <v/>
      </c>
      <c r="I27" s="38">
        <f>'Cash Flow'!I16</f>
        <v/>
      </c>
      <c r="J27" s="38">
        <f>'Cash Flow'!J16</f>
        <v/>
      </c>
      <c r="K27" s="38">
        <f>'Cash Flow'!K16</f>
        <v/>
      </c>
      <c r="L27" s="38">
        <f>'Cash Flow'!L16</f>
        <v/>
      </c>
      <c r="M27" s="38">
        <f>'Cash Flow'!M16</f>
        <v/>
      </c>
      <c r="N27" s="38">
        <f>'Cash Flow'!N16</f>
        <v/>
      </c>
      <c r="O27" s="39">
        <f>SUM(C27:N27)</f>
        <v/>
      </c>
    </row>
    <row r="28">
      <c r="A28" s="35" t="inlineStr">
        <is>
          <t>Free cash flow (pre-financing)</t>
        </is>
      </c>
      <c r="B28" s="45" t="n"/>
      <c r="C28" s="40">
        <f>SUM(C24:C27)</f>
        <v/>
      </c>
      <c r="D28" s="40">
        <f>SUM(D24:D27)</f>
        <v/>
      </c>
      <c r="E28" s="40">
        <f>SUM(E24:E27)</f>
        <v/>
      </c>
      <c r="F28" s="40">
        <f>SUM(F24:F27)</f>
        <v/>
      </c>
      <c r="G28" s="40">
        <f>SUM(G24:G27)</f>
        <v/>
      </c>
      <c r="H28" s="40">
        <f>SUM(H24:H27)</f>
        <v/>
      </c>
      <c r="I28" s="40">
        <f>SUM(I24:I27)</f>
        <v/>
      </c>
      <c r="J28" s="40">
        <f>SUM(J24:J27)</f>
        <v/>
      </c>
      <c r="K28" s="40">
        <f>SUM(K24:K27)</f>
        <v/>
      </c>
      <c r="L28" s="40">
        <f>SUM(L24:L27)</f>
        <v/>
      </c>
      <c r="M28" s="40">
        <f>SUM(M24:M27)</f>
        <v/>
      </c>
      <c r="N28" s="40">
        <f>SUM(N24:N27)</f>
        <v/>
      </c>
      <c r="O28" s="29">
        <f>SUM(C28:N28)</f>
        <v/>
      </c>
    </row>
    <row r="29">
      <c r="A29" s="5" t="inlineStr">
        <is>
          <t>+ Loan drawdown − principal repayment</t>
        </is>
      </c>
      <c r="B29" s="2" t="n"/>
      <c r="C29" s="38">
        <f>IF(C$4=1,Assumptions!$C$43*Assumptions!$C$47,0)-INDEX(Loan!$I$6:$I$29,C$4)</f>
        <v/>
      </c>
      <c r="D29" s="38">
        <f>IF(D$4=1,Assumptions!$C$43*Assumptions!$C$47,0)-INDEX(Loan!$I$6:$I$29,D$4)</f>
        <v/>
      </c>
      <c r="E29" s="38">
        <f>IF(E$4=1,Assumptions!$C$43*Assumptions!$C$47,0)-INDEX(Loan!$I$6:$I$29,E$4)</f>
        <v/>
      </c>
      <c r="F29" s="38">
        <f>IF(F$4=1,Assumptions!$C$43*Assumptions!$C$47,0)-INDEX(Loan!$I$6:$I$29,F$4)</f>
        <v/>
      </c>
      <c r="G29" s="38">
        <f>IF(G$4=1,Assumptions!$C$43*Assumptions!$C$47,0)-INDEX(Loan!$I$6:$I$29,G$4)</f>
        <v/>
      </c>
      <c r="H29" s="38">
        <f>IF(H$4=1,Assumptions!$C$43*Assumptions!$C$47,0)-INDEX(Loan!$I$6:$I$29,H$4)</f>
        <v/>
      </c>
      <c r="I29" s="38">
        <f>IF(I$4=1,Assumptions!$C$43*Assumptions!$C$47,0)-INDEX(Loan!$I$6:$I$29,I$4)</f>
        <v/>
      </c>
      <c r="J29" s="38">
        <f>IF(J$4=1,Assumptions!$C$43*Assumptions!$C$47,0)-INDEX(Loan!$I$6:$I$29,J$4)</f>
        <v/>
      </c>
      <c r="K29" s="38">
        <f>IF(K$4=1,Assumptions!$C$43*Assumptions!$C$47,0)-INDEX(Loan!$I$6:$I$29,K$4)</f>
        <v/>
      </c>
      <c r="L29" s="38">
        <f>IF(L$4=1,Assumptions!$C$43*Assumptions!$C$47,0)-INDEX(Loan!$I$6:$I$29,L$4)</f>
        <v/>
      </c>
      <c r="M29" s="38">
        <f>IF(M$4=1,Assumptions!$C$43*Assumptions!$C$47,0)-INDEX(Loan!$I$6:$I$29,M$4)</f>
        <v/>
      </c>
      <c r="N29" s="38">
        <f>IF(N$4=1,Assumptions!$C$43*Assumptions!$C$47,0)-INDEX(Loan!$I$6:$I$29,N$4)</f>
        <v/>
      </c>
      <c r="O29" s="39">
        <f>SUM(C29:N29)</f>
        <v/>
      </c>
    </row>
    <row r="30">
      <c r="A30" s="17" t="inlineStr">
        <is>
          <t>Net cash flow</t>
        </is>
      </c>
      <c r="B30" s="2" t="n"/>
      <c r="C30" s="21">
        <f>C28+C29</f>
        <v/>
      </c>
      <c r="D30" s="21">
        <f>D28+D29</f>
        <v/>
      </c>
      <c r="E30" s="21">
        <f>E28+E29</f>
        <v/>
      </c>
      <c r="F30" s="21">
        <f>F28+F29</f>
        <v/>
      </c>
      <c r="G30" s="21">
        <f>G28+G29</f>
        <v/>
      </c>
      <c r="H30" s="21">
        <f>H28+H29</f>
        <v/>
      </c>
      <c r="I30" s="21">
        <f>I28+I29</f>
        <v/>
      </c>
      <c r="J30" s="21">
        <f>J28+J29</f>
        <v/>
      </c>
      <c r="K30" s="21">
        <f>K28+K29</f>
        <v/>
      </c>
      <c r="L30" s="21">
        <f>L28+L29</f>
        <v/>
      </c>
      <c r="M30" s="21">
        <f>M28+M29</f>
        <v/>
      </c>
      <c r="N30" s="21">
        <f>N28+N29</f>
        <v/>
      </c>
      <c r="O30" s="39">
        <f>SUM(C30:N30)</f>
        <v/>
      </c>
    </row>
    <row r="31">
      <c r="A31" s="5" t="inlineStr">
        <is>
          <t>Monthly net burn (positive = burning; negative = generating)</t>
        </is>
      </c>
      <c r="B31" s="2" t="n"/>
      <c r="C31" s="38">
        <f>-C30</f>
        <v/>
      </c>
      <c r="D31" s="38">
        <f>-D30</f>
        <v/>
      </c>
      <c r="E31" s="38">
        <f>-E30</f>
        <v/>
      </c>
      <c r="F31" s="38">
        <f>-F30</f>
        <v/>
      </c>
      <c r="G31" s="38">
        <f>-G30</f>
        <v/>
      </c>
      <c r="H31" s="38">
        <f>-H30</f>
        <v/>
      </c>
      <c r="I31" s="38">
        <f>-I30</f>
        <v/>
      </c>
      <c r="J31" s="38">
        <f>-J30</f>
        <v/>
      </c>
      <c r="K31" s="38">
        <f>-K30</f>
        <v/>
      </c>
      <c r="L31" s="38">
        <f>-L30</f>
        <v/>
      </c>
      <c r="M31" s="38">
        <f>-M30</f>
        <v/>
      </c>
      <c r="N31" s="38">
        <f>-N30</f>
        <v/>
      </c>
      <c r="O31" s="39">
        <f>SUM(C31:N31)</f>
        <v/>
      </c>
    </row>
    <row r="32">
      <c r="A32" s="46" t="inlineStr">
        <is>
          <t>Closing cash</t>
        </is>
      </c>
      <c r="B32" s="53">
        <f>Assumptions!$C$37</f>
        <v/>
      </c>
      <c r="C32" s="48">
        <f>Assumptions!$C$37+C30</f>
        <v/>
      </c>
      <c r="D32" s="48">
        <f>C32+D30</f>
        <v/>
      </c>
      <c r="E32" s="48">
        <f>D32+E30</f>
        <v/>
      </c>
      <c r="F32" s="48">
        <f>E32+F30</f>
        <v/>
      </c>
      <c r="G32" s="48">
        <f>F32+G30</f>
        <v/>
      </c>
      <c r="H32" s="48">
        <f>G32+H30</f>
        <v/>
      </c>
      <c r="I32" s="48">
        <f>H32+I30</f>
        <v/>
      </c>
      <c r="J32" s="48">
        <f>I32+J30</f>
        <v/>
      </c>
      <c r="K32" s="48">
        <f>J32+K30</f>
        <v/>
      </c>
      <c r="L32" s="48">
        <f>K32+L30</f>
        <v/>
      </c>
      <c r="M32" s="48">
        <f>L32+M30</f>
        <v/>
      </c>
      <c r="N32" s="48">
        <f>M32+N30</f>
        <v/>
      </c>
      <c r="O32" s="49">
        <f>N32</f>
        <v/>
      </c>
    </row>
    <row r="33">
      <c r="A33" s="5" t="inlineStr">
        <is>
          <t>Cumulative net cash flow vs. Month 0</t>
        </is>
      </c>
      <c r="B33" s="2" t="n"/>
      <c r="C33" s="38">
        <f>C32-Assumptions!$C$37</f>
        <v/>
      </c>
      <c r="D33" s="38">
        <f>D32-Assumptions!$C$37</f>
        <v/>
      </c>
      <c r="E33" s="38">
        <f>E32-Assumptions!$C$37</f>
        <v/>
      </c>
      <c r="F33" s="38">
        <f>F32-Assumptions!$C$37</f>
        <v/>
      </c>
      <c r="G33" s="38">
        <f>G32-Assumptions!$C$37</f>
        <v/>
      </c>
      <c r="H33" s="38">
        <f>H32-Assumptions!$C$37</f>
        <v/>
      </c>
      <c r="I33" s="38">
        <f>I32-Assumptions!$C$37</f>
        <v/>
      </c>
      <c r="J33" s="38">
        <f>J32-Assumptions!$C$37</f>
        <v/>
      </c>
      <c r="K33" s="38">
        <f>K32-Assumptions!$C$37</f>
        <v/>
      </c>
      <c r="L33" s="38">
        <f>L32-Assumptions!$C$37</f>
        <v/>
      </c>
      <c r="M33" s="38">
        <f>M32-Assumptions!$C$37</f>
        <v/>
      </c>
      <c r="N33" s="38">
        <f>N32-Assumptions!$C$37</f>
        <v/>
      </c>
      <c r="O33" s="39">
        <f>N33</f>
        <v/>
      </c>
    </row>
    <row r="34">
      <c r="A34" s="5" t="inlineStr">
        <is>
          <t>Loan balance outstanding</t>
        </is>
      </c>
      <c r="B34" s="2" t="n"/>
      <c r="C34" s="38">
        <f>INDEX(Loan!$L$6:$L$29,C$4)</f>
        <v/>
      </c>
      <c r="D34" s="38">
        <f>INDEX(Loan!$L$6:$L$29,D$4)</f>
        <v/>
      </c>
      <c r="E34" s="38">
        <f>INDEX(Loan!$L$6:$L$29,E$4)</f>
        <v/>
      </c>
      <c r="F34" s="38">
        <f>INDEX(Loan!$L$6:$L$29,F$4)</f>
        <v/>
      </c>
      <c r="G34" s="38">
        <f>INDEX(Loan!$L$6:$L$29,G$4)</f>
        <v/>
      </c>
      <c r="H34" s="38">
        <f>INDEX(Loan!$L$6:$L$29,H$4)</f>
        <v/>
      </c>
      <c r="I34" s="38">
        <f>INDEX(Loan!$L$6:$L$29,I$4)</f>
        <v/>
      </c>
      <c r="J34" s="38">
        <f>INDEX(Loan!$L$6:$L$29,J$4)</f>
        <v/>
      </c>
      <c r="K34" s="38">
        <f>INDEX(Loan!$L$6:$L$29,K$4)</f>
        <v/>
      </c>
      <c r="L34" s="38">
        <f>INDEX(Loan!$L$6:$L$29,L$4)</f>
        <v/>
      </c>
      <c r="M34" s="38">
        <f>INDEX(Loan!$L$6:$L$29,M$4)</f>
        <v/>
      </c>
      <c r="N34" s="38">
        <f>INDEX(Loan!$L$6:$L$29,N$4)</f>
        <v/>
      </c>
      <c r="O34" s="39">
        <f>N34</f>
        <v/>
      </c>
    </row>
    <row r="35">
      <c r="A35" s="5" t="inlineStr">
        <is>
          <t>Net cash (cash − debt)</t>
        </is>
      </c>
      <c r="B35" s="2" t="n"/>
      <c r="C35" s="38">
        <f>C32-C34</f>
        <v/>
      </c>
      <c r="D35" s="38">
        <f>D32-D34</f>
        <v/>
      </c>
      <c r="E35" s="38">
        <f>E32-E34</f>
        <v/>
      </c>
      <c r="F35" s="38">
        <f>F32-F34</f>
        <v/>
      </c>
      <c r="G35" s="38">
        <f>G32-G34</f>
        <v/>
      </c>
      <c r="H35" s="38">
        <f>H32-H34</f>
        <v/>
      </c>
      <c r="I35" s="38">
        <f>I32-I34</f>
        <v/>
      </c>
      <c r="J35" s="38">
        <f>J32-J34</f>
        <v/>
      </c>
      <c r="K35" s="38">
        <f>K32-K34</f>
        <v/>
      </c>
      <c r="L35" s="38">
        <f>L32-L34</f>
        <v/>
      </c>
      <c r="M35" s="38">
        <f>M32-M34</f>
        <v/>
      </c>
      <c r="N35" s="38">
        <f>N32-N34</f>
        <v/>
      </c>
      <c r="O35" s="39">
        <f>N35</f>
        <v/>
      </c>
    </row>
    <row r="36">
      <c r="A36" s="5" t="inlineStr">
        <is>
          <t>Helper: cash-out point (months, interpolated)</t>
        </is>
      </c>
      <c r="B36" s="2" t="n"/>
      <c r="C36" s="54">
        <f>IF(AND(B32&gt;=0,C32&lt;0),(C$4-1)+B32/(B32-C32),"")</f>
        <v/>
      </c>
      <c r="D36" s="54">
        <f>IF(AND(C32&gt;=0,D32&lt;0),(D$4-1)+C32/(C32-D32),"")</f>
        <v/>
      </c>
      <c r="E36" s="54">
        <f>IF(AND(D32&gt;=0,E32&lt;0),(E$4-1)+D32/(D32-E32),"")</f>
        <v/>
      </c>
      <c r="F36" s="54">
        <f>IF(AND(E32&gt;=0,F32&lt;0),(F$4-1)+E32/(E32-F32),"")</f>
        <v/>
      </c>
      <c r="G36" s="54">
        <f>IF(AND(F32&gt;=0,G32&lt;0),(G$4-1)+F32/(F32-G32),"")</f>
        <v/>
      </c>
      <c r="H36" s="54">
        <f>IF(AND(G32&gt;=0,H32&lt;0),(H$4-1)+G32/(G32-H32),"")</f>
        <v/>
      </c>
      <c r="I36" s="54">
        <f>IF(AND(H32&gt;=0,I32&lt;0),(I$4-1)+H32/(H32-I32),"")</f>
        <v/>
      </c>
      <c r="J36" s="54">
        <f>IF(AND(I32&gt;=0,J32&lt;0),(J$4-1)+I32/(I32-J32),"")</f>
        <v/>
      </c>
      <c r="K36" s="54">
        <f>IF(AND(J32&gt;=0,K32&lt;0),(K$4-1)+J32/(J32-K32),"")</f>
        <v/>
      </c>
      <c r="L36" s="54">
        <f>IF(AND(K32&gt;=0,L32&lt;0),(L$4-1)+K32/(K32-L32),"")</f>
        <v/>
      </c>
      <c r="M36" s="54">
        <f>IF(AND(L32&gt;=0,M32&lt;0),(M$4-1)+L32/(L32-M32),"")</f>
        <v/>
      </c>
      <c r="N36" s="54">
        <f>IF(AND(M32&gt;=0,N32&lt;0),(N$4-1)+M32/(M32-N32),"")</f>
        <v/>
      </c>
      <c r="O36" s="5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6" t="inlineStr">
        <is>
          <t>Runway &amp; burn KPIs</t>
        </is>
      </c>
      <c r="B40" s="6" t="inlineStr"/>
      <c r="C40" s="6" t="inlineStr">
        <is>
          <t>Without loan</t>
        </is>
      </c>
      <c r="D40" s="6" t="inlineStr">
        <is>
          <t>With loan</t>
        </is>
      </c>
      <c r="E40" s="6" t="inlineStr">
        <is>
          <t>Loan impact</t>
        </is>
      </c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inlineStr">
        <is>
          <t>Opening cash (Month 0)</t>
        </is>
      </c>
      <c r="B41" s="2" t="n"/>
      <c r="C41" s="55">
        <f>Assumptions!$C$37</f>
        <v/>
      </c>
      <c r="D41" s="55">
        <f>Assumptions!$C$37</f>
        <v/>
      </c>
      <c r="E41" s="55">
        <f>IFERROR(D41-C41,"n/a")</f>
        <v/>
      </c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inlineStr">
        <is>
          <t>Cash at Month 12</t>
        </is>
      </c>
      <c r="B42" s="2" t="n"/>
      <c r="C42" s="55">
        <f>$N$16</f>
        <v/>
      </c>
      <c r="D42" s="55">
        <f>$N$32</f>
        <v/>
      </c>
      <c r="E42" s="55">
        <f>IFERROR(D42-C42,"n/a")</f>
        <v/>
      </c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inlineStr">
        <is>
          <t>Lowest month-end cash in 12 months</t>
        </is>
      </c>
      <c r="B43" s="2" t="n"/>
      <c r="C43" s="55">
        <f>MIN($C$16:$N$16)</f>
        <v/>
      </c>
      <c r="D43" s="55">
        <f>MIN($C$32:$N$32)</f>
        <v/>
      </c>
      <c r="E43" s="55">
        <f>IFERROR(D43-C43,"n/a")</f>
        <v/>
      </c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inlineStr">
        <is>
          <t>Month of lowest cash</t>
        </is>
      </c>
      <c r="B44" s="2" t="n"/>
      <c r="C44" s="56">
        <f>MATCH(C43,$C$16:$N$16,0)</f>
        <v/>
      </c>
      <c r="D44" s="56">
        <f>MATCH(D43,$C$32:$N$32,0)</f>
        <v/>
      </c>
      <c r="E44" s="56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inlineStr">
        <is>
          <t>Months with negative free cash flow (of 12)</t>
        </is>
      </c>
      <c r="B45" s="2" t="n"/>
      <c r="C45" s="56">
        <f>COUNTIF($C$12:$N$12,"&lt;0")</f>
        <v/>
      </c>
      <c r="D45" s="56">
        <f>COUNTIF($C$28:$N$28,"&lt;0")</f>
        <v/>
      </c>
      <c r="E45" s="56">
        <f>IFERROR(D45-C45,"n/a")</f>
        <v/>
      </c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inlineStr">
        <is>
          <t>Average monthly net burn, Months 10–12 (negative = generating)</t>
        </is>
      </c>
      <c r="B46" s="2" t="n"/>
      <c r="C46" s="55">
        <f>AVERAGE($L$15:$N$15)</f>
        <v/>
      </c>
      <c r="D46" s="55">
        <f>AVERAGE($L$31:$N$31)</f>
        <v/>
      </c>
      <c r="E46" s="55">
        <f>IFERROR(D46-C46,"n/a")</f>
        <v/>
      </c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inlineStr">
        <is>
          <t>Cumulative 12-month net burn (negative = cash generated)</t>
        </is>
      </c>
      <c r="B47" s="2" t="n"/>
      <c r="C47" s="55">
        <f>-$N$17</f>
        <v/>
      </c>
      <c r="D47" s="55">
        <f>-$N$33</f>
        <v/>
      </c>
      <c r="E47" s="55">
        <f>IFERROR(D47-C47,"n/a")</f>
        <v/>
      </c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17" t="inlineStr">
        <is>
          <t>RUNWAY (months until cash &lt; 0)</t>
        </is>
      </c>
      <c r="B48" s="2" t="n"/>
      <c r="C48" s="57">
        <f>IF(COUNT($C$20:$N$20)&gt;0,MIN($C$20:$N$20),IF(AVERAGE($L$15:$N$15)&gt;0,12+$N$16/AVERAGE($L$15:$N$15),"Self-funding"))</f>
        <v/>
      </c>
      <c r="D48" s="57">
        <f>IF(COUNT($C$36:$N$36)&gt;0,MIN($C$36:$N$36),IF(AVERAGE($L$31:$N$31)&gt;0,12+$N$32/AVERAGE($L$31:$N$31),"Self-funding"))</f>
        <v/>
      </c>
      <c r="E48" s="57">
        <f>IFERROR(D48-C48,"n/a")</f>
        <v/>
      </c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inlineStr">
        <is>
          <t>Net cash at Month 12 (cash − debt)</t>
        </is>
      </c>
      <c r="B49" s="2" t="n"/>
      <c r="C49" s="55">
        <f>$N$19</f>
        <v/>
      </c>
      <c r="D49" s="55">
        <f>$N$35</f>
        <v/>
      </c>
      <c r="E49" s="55">
        <f>IFERROR(D49-C49,"n/a")</f>
        <v/>
      </c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inlineStr">
        <is>
          <t>Total loan interest paid within 12 months</t>
        </is>
      </c>
      <c r="B50" s="2" t="n"/>
      <c r="C50" s="55">
        <f>0</f>
        <v/>
      </c>
      <c r="D50" s="55">
        <f>Loan!J31</f>
        <v/>
      </c>
      <c r="E50" s="55">
        <f>IFERROR(D50-C50,"n/a")</f>
        <v/>
      </c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3" t="inlineStr">
        <is>
          <t>Reading guide: if runway shows "Self-funding" the plan never burns cash in Months 10–12 and cash never goes negative, i.e. runway is not a binding constraint. Switch Assumptions!C6 to 3 (Stress) to see a burning scenario.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inlineStr">
        <is>
          <t>Integrity check: Runway tab cash (selected loan case) − Cash Flow tab closing cash</t>
        </is>
      </c>
      <c r="B54" s="2" t="n"/>
      <c r="C54" s="21">
        <f>ROUND(IF(Assumptions!$C$7=1,$N$32,$N$16)-'Cash Flow'!$N$26,2)</f>
        <v/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</sheetData>
  <conditionalFormatting sqref="C16:O16">
    <cfRule type="cellIs" priority="1" operator="lessThan" dxfId="2">
      <formula>0</formula>
    </cfRule>
  </conditionalFormatting>
  <conditionalFormatting sqref="C32:O32">
    <cfRule type="cellIs" priority="2" operator="lessThan" dxfId="2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L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8" customWidth="1" min="4" max="4"/>
    <col width="14" customWidth="1" min="5" max="5"/>
    <col width="14" customWidth="1" min="6" max="6"/>
    <col width="16" customWidth="1" min="7" max="7"/>
    <col width="18" customWidth="1" min="8" max="8"/>
    <col width="14" customWidth="1" min="9" max="9"/>
    <col width="14" customWidth="1" min="10" max="10"/>
    <col width="16" customWidth="1" min="11" max="11"/>
    <col width="18" customWidth="1" min="12" max="12"/>
  </cols>
  <sheetData>
    <row r="1">
      <c r="A1" s="1" t="inlineStr">
        <is>
          <t>€500k loan – 24-month repayment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6% p.a. (0.5%/month). Months 1–6 interest-only; Months 7–24 equal annuity payments. EUR schedule converted at the Assumptions FX rate.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0" customHeight="1">
      <c r="A5" s="58" t="inlineStr">
        <is>
          <t>Month</t>
        </is>
      </c>
      <c r="B5" s="58" t="inlineStr">
        <is>
          <t>Date</t>
        </is>
      </c>
      <c r="C5" s="58" t="inlineStr">
        <is>
          <t>Phase</t>
        </is>
      </c>
      <c r="D5" s="58" t="inlineStr">
        <is>
          <t>Opening balance (€)</t>
        </is>
      </c>
      <c r="E5" s="58" t="inlineStr">
        <is>
          <t>Interest (€)</t>
        </is>
      </c>
      <c r="F5" s="58" t="inlineStr">
        <is>
          <t>Principal (€)</t>
        </is>
      </c>
      <c r="G5" s="58" t="inlineStr">
        <is>
          <t>Total payment (€)</t>
        </is>
      </c>
      <c r="H5" s="58" t="inlineStr">
        <is>
          <t>Closing balance (€)</t>
        </is>
      </c>
      <c r="I5" s="58" t="inlineStr">
        <is>
          <t>Principal ($)</t>
        </is>
      </c>
      <c r="J5" s="58" t="inlineStr">
        <is>
          <t>Interest ($)</t>
        </is>
      </c>
      <c r="K5" s="58" t="inlineStr">
        <is>
          <t>Total payment ($)</t>
        </is>
      </c>
      <c r="L5" s="58" t="inlineStr">
        <is>
          <t>Closing balance ($)</t>
        </is>
      </c>
    </row>
    <row r="6">
      <c r="A6" s="2" t="n">
        <v>1</v>
      </c>
      <c r="B6" s="59">
        <f>EDATE(Assumptions!$C$5,A6-1)</f>
        <v/>
      </c>
      <c r="C6" s="2">
        <f>IF(A6&lt;=Assumptions!$C$46,"Interest-only","Amortising")</f>
        <v/>
      </c>
      <c r="D6" s="60">
        <f>Assumptions!$C$43</f>
        <v/>
      </c>
      <c r="E6" s="60">
        <f>D6*Assumptions!$C$44/12</f>
        <v/>
      </c>
      <c r="F6" s="60">
        <f>G6-E6</f>
        <v/>
      </c>
      <c r="G6" s="60">
        <f>IF(A6&lt;=Assumptions!$C$46,E6,-PMT(Assumptions!$C$44/12,Assumptions!$C$45-Assumptions!$C$46,Assumptions!$C$43))</f>
        <v/>
      </c>
      <c r="H6" s="60">
        <f>D6-F6</f>
        <v/>
      </c>
      <c r="I6" s="27">
        <f>F6*Assumptions!$C$47</f>
        <v/>
      </c>
      <c r="J6" s="27">
        <f>E6*Assumptions!$C$47</f>
        <v/>
      </c>
      <c r="K6" s="27">
        <f>G6*Assumptions!$C$47</f>
        <v/>
      </c>
      <c r="L6" s="27">
        <f>H6*Assumptions!$C$47</f>
        <v/>
      </c>
    </row>
    <row r="7">
      <c r="A7" s="2" t="n">
        <v>2</v>
      </c>
      <c r="B7" s="59">
        <f>EDATE(Assumptions!$C$5,A7-1)</f>
        <v/>
      </c>
      <c r="C7" s="2">
        <f>IF(A7&lt;=Assumptions!$C$46,"Interest-only","Amortising")</f>
        <v/>
      </c>
      <c r="D7" s="60">
        <f>H6</f>
        <v/>
      </c>
      <c r="E7" s="60">
        <f>D7*Assumptions!$C$44/12</f>
        <v/>
      </c>
      <c r="F7" s="60">
        <f>G7-E7</f>
        <v/>
      </c>
      <c r="G7" s="60">
        <f>IF(A7&lt;=Assumptions!$C$46,E7,-PMT(Assumptions!$C$44/12,Assumptions!$C$45-Assumptions!$C$46,Assumptions!$C$43))</f>
        <v/>
      </c>
      <c r="H7" s="60">
        <f>D7-F7</f>
        <v/>
      </c>
      <c r="I7" s="27">
        <f>F7*Assumptions!$C$47</f>
        <v/>
      </c>
      <c r="J7" s="27">
        <f>E7*Assumptions!$C$47</f>
        <v/>
      </c>
      <c r="K7" s="27">
        <f>G7*Assumptions!$C$47</f>
        <v/>
      </c>
      <c r="L7" s="27">
        <f>H7*Assumptions!$C$47</f>
        <v/>
      </c>
    </row>
    <row r="8">
      <c r="A8" s="2" t="n">
        <v>3</v>
      </c>
      <c r="B8" s="59">
        <f>EDATE(Assumptions!$C$5,A8-1)</f>
        <v/>
      </c>
      <c r="C8" s="2">
        <f>IF(A8&lt;=Assumptions!$C$46,"Interest-only","Amortising")</f>
        <v/>
      </c>
      <c r="D8" s="60">
        <f>H7</f>
        <v/>
      </c>
      <c r="E8" s="60">
        <f>D8*Assumptions!$C$44/12</f>
        <v/>
      </c>
      <c r="F8" s="60">
        <f>G8-E8</f>
        <v/>
      </c>
      <c r="G8" s="60">
        <f>IF(A8&lt;=Assumptions!$C$46,E8,-PMT(Assumptions!$C$44/12,Assumptions!$C$45-Assumptions!$C$46,Assumptions!$C$43))</f>
        <v/>
      </c>
      <c r="H8" s="60">
        <f>D8-F8</f>
        <v/>
      </c>
      <c r="I8" s="27">
        <f>F8*Assumptions!$C$47</f>
        <v/>
      </c>
      <c r="J8" s="27">
        <f>E8*Assumptions!$C$47</f>
        <v/>
      </c>
      <c r="K8" s="27">
        <f>G8*Assumptions!$C$47</f>
        <v/>
      </c>
      <c r="L8" s="27">
        <f>H8*Assumptions!$C$47</f>
        <v/>
      </c>
    </row>
    <row r="9">
      <c r="A9" s="2" t="n">
        <v>4</v>
      </c>
      <c r="B9" s="59">
        <f>EDATE(Assumptions!$C$5,A9-1)</f>
        <v/>
      </c>
      <c r="C9" s="2">
        <f>IF(A9&lt;=Assumptions!$C$46,"Interest-only","Amortising")</f>
        <v/>
      </c>
      <c r="D9" s="60">
        <f>H8</f>
        <v/>
      </c>
      <c r="E9" s="60">
        <f>D9*Assumptions!$C$44/12</f>
        <v/>
      </c>
      <c r="F9" s="60">
        <f>G9-E9</f>
        <v/>
      </c>
      <c r="G9" s="60">
        <f>IF(A9&lt;=Assumptions!$C$46,E9,-PMT(Assumptions!$C$44/12,Assumptions!$C$45-Assumptions!$C$46,Assumptions!$C$43))</f>
        <v/>
      </c>
      <c r="H9" s="60">
        <f>D9-F9</f>
        <v/>
      </c>
      <c r="I9" s="27">
        <f>F9*Assumptions!$C$47</f>
        <v/>
      </c>
      <c r="J9" s="27">
        <f>E9*Assumptions!$C$47</f>
        <v/>
      </c>
      <c r="K9" s="27">
        <f>G9*Assumptions!$C$47</f>
        <v/>
      </c>
      <c r="L9" s="27">
        <f>H9*Assumptions!$C$47</f>
        <v/>
      </c>
    </row>
    <row r="10">
      <c r="A10" s="2" t="n">
        <v>5</v>
      </c>
      <c r="B10" s="59">
        <f>EDATE(Assumptions!$C$5,A10-1)</f>
        <v/>
      </c>
      <c r="C10" s="2">
        <f>IF(A10&lt;=Assumptions!$C$46,"Interest-only","Amortising")</f>
        <v/>
      </c>
      <c r="D10" s="60">
        <f>H9</f>
        <v/>
      </c>
      <c r="E10" s="60">
        <f>D10*Assumptions!$C$44/12</f>
        <v/>
      </c>
      <c r="F10" s="60">
        <f>G10-E10</f>
        <v/>
      </c>
      <c r="G10" s="60">
        <f>IF(A10&lt;=Assumptions!$C$46,E10,-PMT(Assumptions!$C$44/12,Assumptions!$C$45-Assumptions!$C$46,Assumptions!$C$43))</f>
        <v/>
      </c>
      <c r="H10" s="60">
        <f>D10-F10</f>
        <v/>
      </c>
      <c r="I10" s="27">
        <f>F10*Assumptions!$C$47</f>
        <v/>
      </c>
      <c r="J10" s="27">
        <f>E10*Assumptions!$C$47</f>
        <v/>
      </c>
      <c r="K10" s="27">
        <f>G10*Assumptions!$C$47</f>
        <v/>
      </c>
      <c r="L10" s="27">
        <f>H10*Assumptions!$C$47</f>
        <v/>
      </c>
    </row>
    <row r="11">
      <c r="A11" s="2" t="n">
        <v>6</v>
      </c>
      <c r="B11" s="59">
        <f>EDATE(Assumptions!$C$5,A11-1)</f>
        <v/>
      </c>
      <c r="C11" s="2">
        <f>IF(A11&lt;=Assumptions!$C$46,"Interest-only","Amortising")</f>
        <v/>
      </c>
      <c r="D11" s="60">
        <f>H10</f>
        <v/>
      </c>
      <c r="E11" s="60">
        <f>D11*Assumptions!$C$44/12</f>
        <v/>
      </c>
      <c r="F11" s="60">
        <f>G11-E11</f>
        <v/>
      </c>
      <c r="G11" s="60">
        <f>IF(A11&lt;=Assumptions!$C$46,E11,-PMT(Assumptions!$C$44/12,Assumptions!$C$45-Assumptions!$C$46,Assumptions!$C$43))</f>
        <v/>
      </c>
      <c r="H11" s="60">
        <f>D11-F11</f>
        <v/>
      </c>
      <c r="I11" s="27">
        <f>F11*Assumptions!$C$47</f>
        <v/>
      </c>
      <c r="J11" s="27">
        <f>E11*Assumptions!$C$47</f>
        <v/>
      </c>
      <c r="K11" s="27">
        <f>G11*Assumptions!$C$47</f>
        <v/>
      </c>
      <c r="L11" s="27">
        <f>H11*Assumptions!$C$47</f>
        <v/>
      </c>
    </row>
    <row r="12">
      <c r="A12" s="2" t="n">
        <v>7</v>
      </c>
      <c r="B12" s="59">
        <f>EDATE(Assumptions!$C$5,A12-1)</f>
        <v/>
      </c>
      <c r="C12" s="2">
        <f>IF(A12&lt;=Assumptions!$C$46,"Interest-only","Amortising")</f>
        <v/>
      </c>
      <c r="D12" s="60">
        <f>H11</f>
        <v/>
      </c>
      <c r="E12" s="60">
        <f>D12*Assumptions!$C$44/12</f>
        <v/>
      </c>
      <c r="F12" s="60">
        <f>G12-E12</f>
        <v/>
      </c>
      <c r="G12" s="60">
        <f>IF(A12&lt;=Assumptions!$C$46,E12,-PMT(Assumptions!$C$44/12,Assumptions!$C$45-Assumptions!$C$46,Assumptions!$C$43))</f>
        <v/>
      </c>
      <c r="H12" s="60">
        <f>D12-F12</f>
        <v/>
      </c>
      <c r="I12" s="27">
        <f>F12*Assumptions!$C$47</f>
        <v/>
      </c>
      <c r="J12" s="27">
        <f>E12*Assumptions!$C$47</f>
        <v/>
      </c>
      <c r="K12" s="27">
        <f>G12*Assumptions!$C$47</f>
        <v/>
      </c>
      <c r="L12" s="27">
        <f>H12*Assumptions!$C$47</f>
        <v/>
      </c>
    </row>
    <row r="13">
      <c r="A13" s="2" t="n">
        <v>8</v>
      </c>
      <c r="B13" s="59">
        <f>EDATE(Assumptions!$C$5,A13-1)</f>
        <v/>
      </c>
      <c r="C13" s="2">
        <f>IF(A13&lt;=Assumptions!$C$46,"Interest-only","Amortising")</f>
        <v/>
      </c>
      <c r="D13" s="60">
        <f>H12</f>
        <v/>
      </c>
      <c r="E13" s="60">
        <f>D13*Assumptions!$C$44/12</f>
        <v/>
      </c>
      <c r="F13" s="60">
        <f>G13-E13</f>
        <v/>
      </c>
      <c r="G13" s="60">
        <f>IF(A13&lt;=Assumptions!$C$46,E13,-PMT(Assumptions!$C$44/12,Assumptions!$C$45-Assumptions!$C$46,Assumptions!$C$43))</f>
        <v/>
      </c>
      <c r="H13" s="60">
        <f>D13-F13</f>
        <v/>
      </c>
      <c r="I13" s="27">
        <f>F13*Assumptions!$C$47</f>
        <v/>
      </c>
      <c r="J13" s="27">
        <f>E13*Assumptions!$C$47</f>
        <v/>
      </c>
      <c r="K13" s="27">
        <f>G13*Assumptions!$C$47</f>
        <v/>
      </c>
      <c r="L13" s="27">
        <f>H13*Assumptions!$C$47</f>
        <v/>
      </c>
    </row>
    <row r="14">
      <c r="A14" s="2" t="n">
        <v>9</v>
      </c>
      <c r="B14" s="59">
        <f>EDATE(Assumptions!$C$5,A14-1)</f>
        <v/>
      </c>
      <c r="C14" s="2">
        <f>IF(A14&lt;=Assumptions!$C$46,"Interest-only","Amortising")</f>
        <v/>
      </c>
      <c r="D14" s="60">
        <f>H13</f>
        <v/>
      </c>
      <c r="E14" s="60">
        <f>D14*Assumptions!$C$44/12</f>
        <v/>
      </c>
      <c r="F14" s="60">
        <f>G14-E14</f>
        <v/>
      </c>
      <c r="G14" s="60">
        <f>IF(A14&lt;=Assumptions!$C$46,E14,-PMT(Assumptions!$C$44/12,Assumptions!$C$45-Assumptions!$C$46,Assumptions!$C$43))</f>
        <v/>
      </c>
      <c r="H14" s="60">
        <f>D14-F14</f>
        <v/>
      </c>
      <c r="I14" s="27">
        <f>F14*Assumptions!$C$47</f>
        <v/>
      </c>
      <c r="J14" s="27">
        <f>E14*Assumptions!$C$47</f>
        <v/>
      </c>
      <c r="K14" s="27">
        <f>G14*Assumptions!$C$47</f>
        <v/>
      </c>
      <c r="L14" s="27">
        <f>H14*Assumptions!$C$47</f>
        <v/>
      </c>
    </row>
    <row r="15">
      <c r="A15" s="2" t="n">
        <v>10</v>
      </c>
      <c r="B15" s="59">
        <f>EDATE(Assumptions!$C$5,A15-1)</f>
        <v/>
      </c>
      <c r="C15" s="2">
        <f>IF(A15&lt;=Assumptions!$C$46,"Interest-only","Amortising")</f>
        <v/>
      </c>
      <c r="D15" s="60">
        <f>H14</f>
        <v/>
      </c>
      <c r="E15" s="60">
        <f>D15*Assumptions!$C$44/12</f>
        <v/>
      </c>
      <c r="F15" s="60">
        <f>G15-E15</f>
        <v/>
      </c>
      <c r="G15" s="60">
        <f>IF(A15&lt;=Assumptions!$C$46,E15,-PMT(Assumptions!$C$44/12,Assumptions!$C$45-Assumptions!$C$46,Assumptions!$C$43))</f>
        <v/>
      </c>
      <c r="H15" s="60">
        <f>D15-F15</f>
        <v/>
      </c>
      <c r="I15" s="27">
        <f>F15*Assumptions!$C$47</f>
        <v/>
      </c>
      <c r="J15" s="27">
        <f>E15*Assumptions!$C$47</f>
        <v/>
      </c>
      <c r="K15" s="27">
        <f>G15*Assumptions!$C$47</f>
        <v/>
      </c>
      <c r="L15" s="27">
        <f>H15*Assumptions!$C$47</f>
        <v/>
      </c>
    </row>
    <row r="16">
      <c r="A16" s="2" t="n">
        <v>11</v>
      </c>
      <c r="B16" s="59">
        <f>EDATE(Assumptions!$C$5,A16-1)</f>
        <v/>
      </c>
      <c r="C16" s="2">
        <f>IF(A16&lt;=Assumptions!$C$46,"Interest-only","Amortising")</f>
        <v/>
      </c>
      <c r="D16" s="60">
        <f>H15</f>
        <v/>
      </c>
      <c r="E16" s="60">
        <f>D16*Assumptions!$C$44/12</f>
        <v/>
      </c>
      <c r="F16" s="60">
        <f>G16-E16</f>
        <v/>
      </c>
      <c r="G16" s="60">
        <f>IF(A16&lt;=Assumptions!$C$46,E16,-PMT(Assumptions!$C$44/12,Assumptions!$C$45-Assumptions!$C$46,Assumptions!$C$43))</f>
        <v/>
      </c>
      <c r="H16" s="60">
        <f>D16-F16</f>
        <v/>
      </c>
      <c r="I16" s="27">
        <f>F16*Assumptions!$C$47</f>
        <v/>
      </c>
      <c r="J16" s="27">
        <f>E16*Assumptions!$C$47</f>
        <v/>
      </c>
      <c r="K16" s="27">
        <f>G16*Assumptions!$C$47</f>
        <v/>
      </c>
      <c r="L16" s="27">
        <f>H16*Assumptions!$C$47</f>
        <v/>
      </c>
    </row>
    <row r="17">
      <c r="A17" s="61" t="n">
        <v>12</v>
      </c>
      <c r="B17" s="62">
        <f>EDATE(Assumptions!$C$5,A17-1)</f>
        <v/>
      </c>
      <c r="C17" s="61">
        <f>IF(A17&lt;=Assumptions!$C$46,"Interest-only","Amortising")</f>
        <v/>
      </c>
      <c r="D17" s="63">
        <f>H16</f>
        <v/>
      </c>
      <c r="E17" s="63">
        <f>D17*Assumptions!$C$44/12</f>
        <v/>
      </c>
      <c r="F17" s="63">
        <f>G17-E17</f>
        <v/>
      </c>
      <c r="G17" s="63">
        <f>IF(A17&lt;=Assumptions!$C$46,E17,-PMT(Assumptions!$C$44/12,Assumptions!$C$45-Assumptions!$C$46,Assumptions!$C$43))</f>
        <v/>
      </c>
      <c r="H17" s="63">
        <f>D17-F17</f>
        <v/>
      </c>
      <c r="I17" s="64">
        <f>F17*Assumptions!$C$47</f>
        <v/>
      </c>
      <c r="J17" s="64">
        <f>E17*Assumptions!$C$47</f>
        <v/>
      </c>
      <c r="K17" s="64">
        <f>G17*Assumptions!$C$47</f>
        <v/>
      </c>
      <c r="L17" s="64">
        <f>H17*Assumptions!$C$47</f>
        <v/>
      </c>
    </row>
    <row r="18">
      <c r="A18" s="2" t="n">
        <v>13</v>
      </c>
      <c r="B18" s="59">
        <f>EDATE(Assumptions!$C$5,A18-1)</f>
        <v/>
      </c>
      <c r="C18" s="2">
        <f>IF(A18&lt;=Assumptions!$C$46,"Interest-only","Amortising")</f>
        <v/>
      </c>
      <c r="D18" s="60">
        <f>H17</f>
        <v/>
      </c>
      <c r="E18" s="60">
        <f>D18*Assumptions!$C$44/12</f>
        <v/>
      </c>
      <c r="F18" s="60">
        <f>G18-E18</f>
        <v/>
      </c>
      <c r="G18" s="60">
        <f>IF(A18&lt;=Assumptions!$C$46,E18,-PMT(Assumptions!$C$44/12,Assumptions!$C$45-Assumptions!$C$46,Assumptions!$C$43))</f>
        <v/>
      </c>
      <c r="H18" s="60">
        <f>D18-F18</f>
        <v/>
      </c>
      <c r="I18" s="27">
        <f>F18*Assumptions!$C$47</f>
        <v/>
      </c>
      <c r="J18" s="27">
        <f>E18*Assumptions!$C$47</f>
        <v/>
      </c>
      <c r="K18" s="27">
        <f>G18*Assumptions!$C$47</f>
        <v/>
      </c>
      <c r="L18" s="27">
        <f>H18*Assumptions!$C$47</f>
        <v/>
      </c>
    </row>
    <row r="19">
      <c r="A19" s="2" t="n">
        <v>14</v>
      </c>
      <c r="B19" s="59">
        <f>EDATE(Assumptions!$C$5,A19-1)</f>
        <v/>
      </c>
      <c r="C19" s="2">
        <f>IF(A19&lt;=Assumptions!$C$46,"Interest-only","Amortising")</f>
        <v/>
      </c>
      <c r="D19" s="60">
        <f>H18</f>
        <v/>
      </c>
      <c r="E19" s="60">
        <f>D19*Assumptions!$C$44/12</f>
        <v/>
      </c>
      <c r="F19" s="60">
        <f>G19-E19</f>
        <v/>
      </c>
      <c r="G19" s="60">
        <f>IF(A19&lt;=Assumptions!$C$46,E19,-PMT(Assumptions!$C$44/12,Assumptions!$C$45-Assumptions!$C$46,Assumptions!$C$43))</f>
        <v/>
      </c>
      <c r="H19" s="60">
        <f>D19-F19</f>
        <v/>
      </c>
      <c r="I19" s="27">
        <f>F19*Assumptions!$C$47</f>
        <v/>
      </c>
      <c r="J19" s="27">
        <f>E19*Assumptions!$C$47</f>
        <v/>
      </c>
      <c r="K19" s="27">
        <f>G19*Assumptions!$C$47</f>
        <v/>
      </c>
      <c r="L19" s="27">
        <f>H19*Assumptions!$C$47</f>
        <v/>
      </c>
    </row>
    <row r="20">
      <c r="A20" s="2" t="n">
        <v>15</v>
      </c>
      <c r="B20" s="59">
        <f>EDATE(Assumptions!$C$5,A20-1)</f>
        <v/>
      </c>
      <c r="C20" s="2">
        <f>IF(A20&lt;=Assumptions!$C$46,"Interest-only","Amortising")</f>
        <v/>
      </c>
      <c r="D20" s="60">
        <f>H19</f>
        <v/>
      </c>
      <c r="E20" s="60">
        <f>D20*Assumptions!$C$44/12</f>
        <v/>
      </c>
      <c r="F20" s="60">
        <f>G20-E20</f>
        <v/>
      </c>
      <c r="G20" s="60">
        <f>IF(A20&lt;=Assumptions!$C$46,E20,-PMT(Assumptions!$C$44/12,Assumptions!$C$45-Assumptions!$C$46,Assumptions!$C$43))</f>
        <v/>
      </c>
      <c r="H20" s="60">
        <f>D20-F20</f>
        <v/>
      </c>
      <c r="I20" s="27">
        <f>F20*Assumptions!$C$47</f>
        <v/>
      </c>
      <c r="J20" s="27">
        <f>E20*Assumptions!$C$47</f>
        <v/>
      </c>
      <c r="K20" s="27">
        <f>G20*Assumptions!$C$47</f>
        <v/>
      </c>
      <c r="L20" s="27">
        <f>H20*Assumptions!$C$47</f>
        <v/>
      </c>
    </row>
    <row r="21">
      <c r="A21" s="2" t="n">
        <v>16</v>
      </c>
      <c r="B21" s="59">
        <f>EDATE(Assumptions!$C$5,A21-1)</f>
        <v/>
      </c>
      <c r="C21" s="2">
        <f>IF(A21&lt;=Assumptions!$C$46,"Interest-only","Amortising")</f>
        <v/>
      </c>
      <c r="D21" s="60">
        <f>H20</f>
        <v/>
      </c>
      <c r="E21" s="60">
        <f>D21*Assumptions!$C$44/12</f>
        <v/>
      </c>
      <c r="F21" s="60">
        <f>G21-E21</f>
        <v/>
      </c>
      <c r="G21" s="60">
        <f>IF(A21&lt;=Assumptions!$C$46,E21,-PMT(Assumptions!$C$44/12,Assumptions!$C$45-Assumptions!$C$46,Assumptions!$C$43))</f>
        <v/>
      </c>
      <c r="H21" s="60">
        <f>D21-F21</f>
        <v/>
      </c>
      <c r="I21" s="27">
        <f>F21*Assumptions!$C$47</f>
        <v/>
      </c>
      <c r="J21" s="27">
        <f>E21*Assumptions!$C$47</f>
        <v/>
      </c>
      <c r="K21" s="27">
        <f>G21*Assumptions!$C$47</f>
        <v/>
      </c>
      <c r="L21" s="27">
        <f>H21*Assumptions!$C$47</f>
        <v/>
      </c>
    </row>
    <row r="22">
      <c r="A22" s="2" t="n">
        <v>17</v>
      </c>
      <c r="B22" s="59">
        <f>EDATE(Assumptions!$C$5,A22-1)</f>
        <v/>
      </c>
      <c r="C22" s="2">
        <f>IF(A22&lt;=Assumptions!$C$46,"Interest-only","Amortising")</f>
        <v/>
      </c>
      <c r="D22" s="60">
        <f>H21</f>
        <v/>
      </c>
      <c r="E22" s="60">
        <f>D22*Assumptions!$C$44/12</f>
        <v/>
      </c>
      <c r="F22" s="60">
        <f>G22-E22</f>
        <v/>
      </c>
      <c r="G22" s="60">
        <f>IF(A22&lt;=Assumptions!$C$46,E22,-PMT(Assumptions!$C$44/12,Assumptions!$C$45-Assumptions!$C$46,Assumptions!$C$43))</f>
        <v/>
      </c>
      <c r="H22" s="60">
        <f>D22-F22</f>
        <v/>
      </c>
      <c r="I22" s="27">
        <f>F22*Assumptions!$C$47</f>
        <v/>
      </c>
      <c r="J22" s="27">
        <f>E22*Assumptions!$C$47</f>
        <v/>
      </c>
      <c r="K22" s="27">
        <f>G22*Assumptions!$C$47</f>
        <v/>
      </c>
      <c r="L22" s="27">
        <f>H22*Assumptions!$C$47</f>
        <v/>
      </c>
    </row>
    <row r="23">
      <c r="A23" s="2" t="n">
        <v>18</v>
      </c>
      <c r="B23" s="59">
        <f>EDATE(Assumptions!$C$5,A23-1)</f>
        <v/>
      </c>
      <c r="C23" s="2">
        <f>IF(A23&lt;=Assumptions!$C$46,"Interest-only","Amortising")</f>
        <v/>
      </c>
      <c r="D23" s="60">
        <f>H22</f>
        <v/>
      </c>
      <c r="E23" s="60">
        <f>D23*Assumptions!$C$44/12</f>
        <v/>
      </c>
      <c r="F23" s="60">
        <f>G23-E23</f>
        <v/>
      </c>
      <c r="G23" s="60">
        <f>IF(A23&lt;=Assumptions!$C$46,E23,-PMT(Assumptions!$C$44/12,Assumptions!$C$45-Assumptions!$C$46,Assumptions!$C$43))</f>
        <v/>
      </c>
      <c r="H23" s="60">
        <f>D23-F23</f>
        <v/>
      </c>
      <c r="I23" s="27">
        <f>F23*Assumptions!$C$47</f>
        <v/>
      </c>
      <c r="J23" s="27">
        <f>E23*Assumptions!$C$47</f>
        <v/>
      </c>
      <c r="K23" s="27">
        <f>G23*Assumptions!$C$47</f>
        <v/>
      </c>
      <c r="L23" s="27">
        <f>H23*Assumptions!$C$47</f>
        <v/>
      </c>
    </row>
    <row r="24">
      <c r="A24" s="2" t="n">
        <v>19</v>
      </c>
      <c r="B24" s="59">
        <f>EDATE(Assumptions!$C$5,A24-1)</f>
        <v/>
      </c>
      <c r="C24" s="2">
        <f>IF(A24&lt;=Assumptions!$C$46,"Interest-only","Amortising")</f>
        <v/>
      </c>
      <c r="D24" s="60">
        <f>H23</f>
        <v/>
      </c>
      <c r="E24" s="60">
        <f>D24*Assumptions!$C$44/12</f>
        <v/>
      </c>
      <c r="F24" s="60">
        <f>G24-E24</f>
        <v/>
      </c>
      <c r="G24" s="60">
        <f>IF(A24&lt;=Assumptions!$C$46,E24,-PMT(Assumptions!$C$44/12,Assumptions!$C$45-Assumptions!$C$46,Assumptions!$C$43))</f>
        <v/>
      </c>
      <c r="H24" s="60">
        <f>D24-F24</f>
        <v/>
      </c>
      <c r="I24" s="27">
        <f>F24*Assumptions!$C$47</f>
        <v/>
      </c>
      <c r="J24" s="27">
        <f>E24*Assumptions!$C$47</f>
        <v/>
      </c>
      <c r="K24" s="27">
        <f>G24*Assumptions!$C$47</f>
        <v/>
      </c>
      <c r="L24" s="27">
        <f>H24*Assumptions!$C$47</f>
        <v/>
      </c>
    </row>
    <row r="25">
      <c r="A25" s="2" t="n">
        <v>20</v>
      </c>
      <c r="B25" s="59">
        <f>EDATE(Assumptions!$C$5,A25-1)</f>
        <v/>
      </c>
      <c r="C25" s="2">
        <f>IF(A25&lt;=Assumptions!$C$46,"Interest-only","Amortising")</f>
        <v/>
      </c>
      <c r="D25" s="60">
        <f>H24</f>
        <v/>
      </c>
      <c r="E25" s="60">
        <f>D25*Assumptions!$C$44/12</f>
        <v/>
      </c>
      <c r="F25" s="60">
        <f>G25-E25</f>
        <v/>
      </c>
      <c r="G25" s="60">
        <f>IF(A25&lt;=Assumptions!$C$46,E25,-PMT(Assumptions!$C$44/12,Assumptions!$C$45-Assumptions!$C$46,Assumptions!$C$43))</f>
        <v/>
      </c>
      <c r="H25" s="60">
        <f>D25-F25</f>
        <v/>
      </c>
      <c r="I25" s="27">
        <f>F25*Assumptions!$C$47</f>
        <v/>
      </c>
      <c r="J25" s="27">
        <f>E25*Assumptions!$C$47</f>
        <v/>
      </c>
      <c r="K25" s="27">
        <f>G25*Assumptions!$C$47</f>
        <v/>
      </c>
      <c r="L25" s="27">
        <f>H25*Assumptions!$C$47</f>
        <v/>
      </c>
    </row>
    <row r="26">
      <c r="A26" s="2" t="n">
        <v>21</v>
      </c>
      <c r="B26" s="59">
        <f>EDATE(Assumptions!$C$5,A26-1)</f>
        <v/>
      </c>
      <c r="C26" s="2">
        <f>IF(A26&lt;=Assumptions!$C$46,"Interest-only","Amortising")</f>
        <v/>
      </c>
      <c r="D26" s="60">
        <f>H25</f>
        <v/>
      </c>
      <c r="E26" s="60">
        <f>D26*Assumptions!$C$44/12</f>
        <v/>
      </c>
      <c r="F26" s="60">
        <f>G26-E26</f>
        <v/>
      </c>
      <c r="G26" s="60">
        <f>IF(A26&lt;=Assumptions!$C$46,E26,-PMT(Assumptions!$C$44/12,Assumptions!$C$45-Assumptions!$C$46,Assumptions!$C$43))</f>
        <v/>
      </c>
      <c r="H26" s="60">
        <f>D26-F26</f>
        <v/>
      </c>
      <c r="I26" s="27">
        <f>F26*Assumptions!$C$47</f>
        <v/>
      </c>
      <c r="J26" s="27">
        <f>E26*Assumptions!$C$47</f>
        <v/>
      </c>
      <c r="K26" s="27">
        <f>G26*Assumptions!$C$47</f>
        <v/>
      </c>
      <c r="L26" s="27">
        <f>H26*Assumptions!$C$47</f>
        <v/>
      </c>
    </row>
    <row r="27">
      <c r="A27" s="2" t="n">
        <v>22</v>
      </c>
      <c r="B27" s="59">
        <f>EDATE(Assumptions!$C$5,A27-1)</f>
        <v/>
      </c>
      <c r="C27" s="2">
        <f>IF(A27&lt;=Assumptions!$C$46,"Interest-only","Amortising")</f>
        <v/>
      </c>
      <c r="D27" s="60">
        <f>H26</f>
        <v/>
      </c>
      <c r="E27" s="60">
        <f>D27*Assumptions!$C$44/12</f>
        <v/>
      </c>
      <c r="F27" s="60">
        <f>G27-E27</f>
        <v/>
      </c>
      <c r="G27" s="60">
        <f>IF(A27&lt;=Assumptions!$C$46,E27,-PMT(Assumptions!$C$44/12,Assumptions!$C$45-Assumptions!$C$46,Assumptions!$C$43))</f>
        <v/>
      </c>
      <c r="H27" s="60">
        <f>D27-F27</f>
        <v/>
      </c>
      <c r="I27" s="27">
        <f>F27*Assumptions!$C$47</f>
        <v/>
      </c>
      <c r="J27" s="27">
        <f>E27*Assumptions!$C$47</f>
        <v/>
      </c>
      <c r="K27" s="27">
        <f>G27*Assumptions!$C$47</f>
        <v/>
      </c>
      <c r="L27" s="27">
        <f>H27*Assumptions!$C$47</f>
        <v/>
      </c>
    </row>
    <row r="28">
      <c r="A28" s="2" t="n">
        <v>23</v>
      </c>
      <c r="B28" s="59">
        <f>EDATE(Assumptions!$C$5,A28-1)</f>
        <v/>
      </c>
      <c r="C28" s="2">
        <f>IF(A28&lt;=Assumptions!$C$46,"Interest-only","Amortising")</f>
        <v/>
      </c>
      <c r="D28" s="60">
        <f>H27</f>
        <v/>
      </c>
      <c r="E28" s="60">
        <f>D28*Assumptions!$C$44/12</f>
        <v/>
      </c>
      <c r="F28" s="60">
        <f>G28-E28</f>
        <v/>
      </c>
      <c r="G28" s="60">
        <f>IF(A28&lt;=Assumptions!$C$46,E28,-PMT(Assumptions!$C$44/12,Assumptions!$C$45-Assumptions!$C$46,Assumptions!$C$43))</f>
        <v/>
      </c>
      <c r="H28" s="60">
        <f>D28-F28</f>
        <v/>
      </c>
      <c r="I28" s="27">
        <f>F28*Assumptions!$C$47</f>
        <v/>
      </c>
      <c r="J28" s="27">
        <f>E28*Assumptions!$C$47</f>
        <v/>
      </c>
      <c r="K28" s="27">
        <f>G28*Assumptions!$C$47</f>
        <v/>
      </c>
      <c r="L28" s="27">
        <f>H28*Assumptions!$C$47</f>
        <v/>
      </c>
    </row>
    <row r="29">
      <c r="A29" s="2" t="n">
        <v>24</v>
      </c>
      <c r="B29" s="59">
        <f>EDATE(Assumptions!$C$5,A29-1)</f>
        <v/>
      </c>
      <c r="C29" s="2">
        <f>IF(A29&lt;=Assumptions!$C$46,"Interest-only","Amortising")</f>
        <v/>
      </c>
      <c r="D29" s="60">
        <f>H28</f>
        <v/>
      </c>
      <c r="E29" s="60">
        <f>D29*Assumptions!$C$44/12</f>
        <v/>
      </c>
      <c r="F29" s="60">
        <f>G29-E29</f>
        <v/>
      </c>
      <c r="G29" s="60">
        <f>IF(A29&lt;=Assumptions!$C$46,E29,-PMT(Assumptions!$C$44/12,Assumptions!$C$45-Assumptions!$C$46,Assumptions!$C$43))</f>
        <v/>
      </c>
      <c r="H29" s="60">
        <f>D29-F29</f>
        <v/>
      </c>
      <c r="I29" s="27">
        <f>F29*Assumptions!$C$47</f>
        <v/>
      </c>
      <c r="J29" s="27">
        <f>E29*Assumptions!$C$47</f>
        <v/>
      </c>
      <c r="K29" s="27">
        <f>G29*Assumptions!$C$47</f>
        <v/>
      </c>
      <c r="L29" s="27">
        <f>H29*Assumptions!$C$47</f>
        <v/>
      </c>
    </row>
    <row r="30">
      <c r="A30" s="65" t="n"/>
      <c r="B30" s="65" t="n"/>
      <c r="C30" s="65" t="inlineStr">
        <is>
          <t>Total (24 months)</t>
        </is>
      </c>
      <c r="D30" s="65" t="n"/>
      <c r="E30" s="66">
        <f>SUM(E6:E29)</f>
        <v/>
      </c>
      <c r="F30" s="66">
        <f>SUM(F6:F29)</f>
        <v/>
      </c>
      <c r="G30" s="66">
        <f>SUM(G6:G29)</f>
        <v/>
      </c>
      <c r="H30" s="65" t="n"/>
      <c r="I30" s="39">
        <f>SUM(I6:I29)</f>
        <v/>
      </c>
      <c r="J30" s="39">
        <f>SUM(J6:J29)</f>
        <v/>
      </c>
      <c r="K30" s="39">
        <f>SUM(K6:K29)</f>
        <v/>
      </c>
      <c r="L30" s="65" t="n"/>
    </row>
    <row r="31">
      <c r="A31" s="65" t="n"/>
      <c r="B31" s="65" t="n"/>
      <c r="C31" s="65" t="inlineStr">
        <is>
          <t>Of which inside 12-month model</t>
        </is>
      </c>
      <c r="D31" s="65" t="n"/>
      <c r="E31" s="66">
        <f>SUM(E6:E17)</f>
        <v/>
      </c>
      <c r="F31" s="66">
        <f>SUM(F6:F17)</f>
        <v/>
      </c>
      <c r="G31" s="66">
        <f>SUM(G6:G17)</f>
        <v/>
      </c>
      <c r="H31" s="65" t="n"/>
      <c r="I31" s="39">
        <f>SUM(I6:I17)</f>
        <v/>
      </c>
      <c r="J31" s="39">
        <f>SUM(J6:J17)</f>
        <v/>
      </c>
      <c r="K31" s="39">
        <f>SUM(K6:K17)</f>
        <v/>
      </c>
      <c r="L31" s="65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4" t="inlineStr">
        <is>
          <t>Key loan facts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inlineStr">
        <is>
          <t>Monthly payment, Months 1–6 (interest-only, €)</t>
        </is>
      </c>
      <c r="B34" s="2" t="n"/>
      <c r="C34" s="2" t="n"/>
      <c r="D34" s="2" t="n"/>
      <c r="E34" s="2" t="n"/>
      <c r="F34" s="2" t="n"/>
      <c r="G34" s="2" t="n"/>
      <c r="H34" s="67">
        <f>G6</f>
        <v/>
      </c>
      <c r="I34" s="2" t="n"/>
      <c r="J34" s="2" t="n"/>
      <c r="K34" s="2" t="n"/>
      <c r="L34" s="2" t="n"/>
    </row>
    <row r="35">
      <c r="A35" s="2" t="inlineStr">
        <is>
          <t>Monthly annuity payment, Months 7–24 (€)</t>
        </is>
      </c>
      <c r="B35" s="2" t="n"/>
      <c r="C35" s="2" t="n"/>
      <c r="D35" s="2" t="n"/>
      <c r="E35" s="2" t="n"/>
      <c r="F35" s="2" t="n"/>
      <c r="G35" s="2" t="n"/>
      <c r="H35" s="67">
        <f>G12</f>
        <v/>
      </c>
      <c r="I35" s="2" t="n"/>
      <c r="J35" s="2" t="n"/>
      <c r="K35" s="2" t="n"/>
      <c r="L35" s="2" t="n"/>
    </row>
    <row r="36">
      <c r="A36" s="2" t="inlineStr">
        <is>
          <t>Monthly annuity payment, Months 7–24 ($)</t>
        </is>
      </c>
      <c r="B36" s="2" t="n"/>
      <c r="C36" s="2" t="n"/>
      <c r="D36" s="2" t="n"/>
      <c r="E36" s="2" t="n"/>
      <c r="F36" s="2" t="n"/>
      <c r="G36" s="2" t="n"/>
      <c r="H36" s="21">
        <f>K12</f>
        <v/>
      </c>
      <c r="I36" s="2" t="n"/>
      <c r="J36" s="2" t="n"/>
      <c r="K36" s="2" t="n"/>
      <c r="L36" s="2" t="n"/>
    </row>
    <row r="37">
      <c r="A37" s="2" t="inlineStr">
        <is>
          <t>Total interest over 24 months ($)</t>
        </is>
      </c>
      <c r="B37" s="2" t="n"/>
      <c r="C37" s="2" t="n"/>
      <c r="D37" s="2" t="n"/>
      <c r="E37" s="2" t="n"/>
      <c r="F37" s="2" t="n"/>
      <c r="G37" s="2" t="n"/>
      <c r="H37" s="21">
        <f>J30</f>
        <v/>
      </c>
      <c r="I37" s="2" t="n"/>
      <c r="J37" s="2" t="n"/>
      <c r="K37" s="2" t="n"/>
      <c r="L37" s="2" t="n"/>
    </row>
    <row r="38">
      <c r="A38" s="2" t="inlineStr">
        <is>
          <t>Balance still outstanding at Month 12 ($)</t>
        </is>
      </c>
      <c r="B38" s="2" t="n"/>
      <c r="C38" s="2" t="n"/>
      <c r="D38" s="2" t="n"/>
      <c r="E38" s="2" t="n"/>
      <c r="F38" s="2" t="n"/>
      <c r="G38" s="2" t="n"/>
      <c r="H38" s="21">
        <f>L17</f>
        <v/>
      </c>
      <c r="I38" s="2" t="n"/>
      <c r="J38" s="2" t="n"/>
      <c r="K38" s="2" t="n"/>
      <c r="L38" s="2" t="n"/>
    </row>
    <row r="39">
      <c r="A39" s="2" t="inlineStr">
        <is>
          <t>Cash received at drawdown ($)</t>
        </is>
      </c>
      <c r="B39" s="2" t="n"/>
      <c r="C39" s="2" t="n"/>
      <c r="D39" s="2" t="n"/>
      <c r="E39" s="2" t="n"/>
      <c r="F39" s="2" t="n"/>
      <c r="G39" s="2" t="n"/>
      <c r="H39" s="21">
        <f>Assumptions!$C$43*Assumptions!$C$47</f>
        <v/>
      </c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4" t="inlineStr">
        <is>
          <t>FX sensitivity – USD cost of servicing the EUR loan (revenue is in MXN/USD)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6" t="inlineStr">
        <is>
          <t>USD per EUR</t>
        </is>
      </c>
      <c r="B42" s="6" t="n"/>
      <c r="C42" s="6" t="n"/>
      <c r="D42" s="6" t="inlineStr">
        <is>
          <t>Total repaid, 24m ($)</t>
        </is>
      </c>
      <c r="E42" s="6" t="n"/>
      <c r="F42" s="6" t="n"/>
      <c r="G42" s="6" t="inlineStr">
        <is>
          <t>Extra cost vs. base ($)</t>
        </is>
      </c>
      <c r="H42" s="6" t="n"/>
      <c r="I42" s="6" t="n"/>
      <c r="J42" s="6" t="n"/>
      <c r="K42" s="6" t="n"/>
      <c r="L42" s="6" t="n"/>
    </row>
    <row r="43">
      <c r="A43" s="25" t="n">
        <v>1</v>
      </c>
      <c r="B43" s="2" t="n"/>
      <c r="C43" s="2" t="n"/>
      <c r="D43" s="27">
        <f>$G$30*A43</f>
        <v/>
      </c>
      <c r="E43" s="2" t="n"/>
      <c r="F43" s="2" t="n"/>
      <c r="G43" s="27">
        <f>D43-$G$30*Assumptions!$C$47</f>
        <v/>
      </c>
      <c r="H43" s="2" t="n"/>
      <c r="I43" s="2" t="n"/>
      <c r="J43" s="2" t="n"/>
      <c r="K43" s="2" t="n"/>
      <c r="L43" s="2" t="n"/>
    </row>
    <row r="44">
      <c r="A44" s="25" t="n">
        <v>1.1</v>
      </c>
      <c r="B44" s="2" t="n"/>
      <c r="C44" s="2" t="n"/>
      <c r="D44" s="27">
        <f>$G$30*A44</f>
        <v/>
      </c>
      <c r="E44" s="2" t="n"/>
      <c r="F44" s="2" t="n"/>
      <c r="G44" s="27">
        <f>D44-$G$30*Assumptions!$C$47</f>
        <v/>
      </c>
      <c r="H44" s="2" t="n"/>
      <c r="I44" s="2" t="n"/>
      <c r="J44" s="2" t="n"/>
      <c r="K44" s="2" t="n"/>
      <c r="L44" s="2" t="n"/>
    </row>
    <row r="45">
      <c r="A45" s="25" t="n">
        <v>1.2</v>
      </c>
      <c r="B45" s="2" t="n"/>
      <c r="C45" s="2" t="n"/>
      <c r="D45" s="27">
        <f>$G$30*A45</f>
        <v/>
      </c>
      <c r="E45" s="2" t="n"/>
      <c r="F45" s="2" t="n"/>
      <c r="G45" s="27">
        <f>D45-$G$30*Assumptions!$C$47</f>
        <v/>
      </c>
      <c r="H45" s="2" t="n"/>
      <c r="I45" s="2" t="n"/>
      <c r="J45" s="2" t="n"/>
      <c r="K45" s="2" t="n"/>
      <c r="L45" s="2" t="n"/>
    </row>
    <row r="46">
      <c r="A46" s="25" t="n">
        <v>1.3</v>
      </c>
      <c r="B46" s="2" t="n"/>
      <c r="C46" s="2" t="n"/>
      <c r="D46" s="27">
        <f>$G$30*A46</f>
        <v/>
      </c>
      <c r="E46" s="2" t="n"/>
      <c r="F46" s="2" t="n"/>
      <c r="G46" s="27">
        <f>D46-$G$30*Assumptions!$C$47</f>
        <v/>
      </c>
      <c r="H46" s="2" t="n"/>
      <c r="I46" s="2" t="n"/>
      <c r="J46" s="2" t="n"/>
      <c r="K46" s="2" t="n"/>
      <c r="L46" s="2" t="n"/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Scenario summary – Base vs. Downside vs. Stress (snapshot values)</t>
        </is>
      </c>
      <c r="B1" s="2" t="n"/>
      <c r="C1" s="2" t="n"/>
      <c r="D1" s="2" t="n"/>
      <c r="E1" s="2" t="n"/>
    </row>
    <row r="2">
      <c r="A2" s="3" t="inlineStr">
        <is>
          <t>Static values generated from the same model logic for all three scenarios at once (Sheets has no data tables). To see any scenario live, set Assumptions!C6.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6" t="inlineStr">
        <is>
          <t>Metric</t>
        </is>
      </c>
      <c r="C4" s="6" t="inlineStr">
        <is>
          <t>Base</t>
        </is>
      </c>
      <c r="D4" s="6" t="inlineStr">
        <is>
          <t>Downside</t>
        </is>
      </c>
      <c r="E4" s="6" t="inlineStr">
        <is>
          <t>Stress</t>
        </is>
      </c>
    </row>
    <row r="5">
      <c r="A5" s="2" t="n"/>
      <c r="B5" s="7" t="inlineStr">
        <is>
          <t>MoM revenue growth</t>
        </is>
      </c>
      <c r="C5" s="68" t="n">
        <v>0.06</v>
      </c>
      <c r="D5" s="68" t="n">
        <v>0</v>
      </c>
      <c r="E5" s="68" t="n">
        <v>0</v>
      </c>
    </row>
    <row r="6">
      <c r="A6" s="2" t="n"/>
      <c r="B6" s="2" t="inlineStr">
        <is>
          <t>Gross margin, Month 12</t>
        </is>
      </c>
      <c r="C6" s="69" t="n">
        <v>0.6</v>
      </c>
      <c r="D6" s="69" t="n">
        <v>0.55</v>
      </c>
      <c r="E6" s="69" t="n">
        <v>0.55</v>
      </c>
    </row>
    <row r="7">
      <c r="A7" s="2" t="n"/>
      <c r="B7" s="7" t="inlineStr">
        <is>
          <t>DSO, Month 12 (days)</t>
        </is>
      </c>
      <c r="C7" s="70" t="n">
        <v>45</v>
      </c>
      <c r="D7" s="70" t="n">
        <v>90</v>
      </c>
      <c r="E7" s="70" t="n">
        <v>90</v>
      </c>
    </row>
    <row r="8">
      <c r="A8" s="2" t="n"/>
      <c r="B8" s="2" t="inlineStr">
        <is>
          <t>Existing run-rate opex added (USD / month)</t>
        </is>
      </c>
      <c r="C8" s="71" t="n">
        <v>0</v>
      </c>
      <c r="D8" s="71" t="n">
        <v>0</v>
      </c>
      <c r="E8" s="71" t="n">
        <v>1000000</v>
      </c>
    </row>
    <row r="9">
      <c r="A9" s="2" t="n"/>
      <c r="B9" s="7" t="inlineStr">
        <is>
          <t>Revenue – 12-month total</t>
        </is>
      </c>
      <c r="C9" s="72" t="n">
        <v>25304911.79588877</v>
      </c>
      <c r="D9" s="72" t="n">
        <v>18000000</v>
      </c>
      <c r="E9" s="72" t="n">
        <v>18000000</v>
      </c>
    </row>
    <row r="10">
      <c r="A10" s="2" t="n"/>
      <c r="B10" s="2" t="inlineStr">
        <is>
          <t>Revenue – Month 12</t>
        </is>
      </c>
      <c r="C10" s="71" t="n">
        <v>2847447.837503139</v>
      </c>
      <c r="D10" s="71" t="n">
        <v>1500000</v>
      </c>
      <c r="E10" s="71" t="n">
        <v>1500000</v>
      </c>
    </row>
    <row r="11">
      <c r="A11" s="2" t="n"/>
      <c r="B11" s="7" t="inlineStr">
        <is>
          <t>EBITDA – 12-month total</t>
        </is>
      </c>
      <c r="C11" s="72" t="n">
        <v>13629749.48631271</v>
      </c>
      <c r="D11" s="72" t="n">
        <v>8693400</v>
      </c>
      <c r="E11" s="72" t="n">
        <v>-3306600</v>
      </c>
    </row>
    <row r="12">
      <c r="A12" s="2" t="n"/>
      <c r="B12" s="2" t="inlineStr">
        <is>
          <t>Net income – 12m, without loan</t>
        </is>
      </c>
      <c r="C12" s="71" t="n">
        <v>9533649.640418898</v>
      </c>
      <c r="D12" s="71" t="n">
        <v>6078205.000000001</v>
      </c>
      <c r="E12" s="71" t="n">
        <v>-3316850</v>
      </c>
    </row>
    <row r="13">
      <c r="A13" s="2" t="n"/>
      <c r="B13" s="7" t="inlineStr">
        <is>
          <t>Net income – 12m, with loan</t>
        </is>
      </c>
      <c r="C13" s="72" t="n">
        <v>9512096.992249642</v>
      </c>
      <c r="D13" s="72" t="n">
        <v>6056652.351830745</v>
      </c>
      <c r="E13" s="72" t="n">
        <v>-3347639.49738465</v>
      </c>
    </row>
    <row r="14">
      <c r="A14" s="2" t="n"/>
      <c r="B14" s="2" t="inlineStr">
        <is>
          <t>Cash at Month 12 – without loan</t>
        </is>
      </c>
      <c r="C14" s="71" t="n">
        <v>11304252.62991601</v>
      </c>
      <c r="D14" s="71" t="n">
        <v>6890960.000000002</v>
      </c>
      <c r="E14" s="71" t="n">
        <v>-2438100</v>
      </c>
    </row>
    <row r="15">
      <c r="A15" s="2" t="n"/>
      <c r="B15" s="7" t="inlineStr">
        <is>
          <t>Cash at Month 12 – with loan</t>
        </is>
      </c>
      <c r="C15" s="72" t="n">
        <v>11655046.55608727</v>
      </c>
      <c r="D15" s="72" t="n">
        <v>7241753.926171262</v>
      </c>
      <c r="E15" s="72" t="n">
        <v>-2096764.710747973</v>
      </c>
    </row>
    <row r="16">
      <c r="A16" s="2" t="n"/>
      <c r="B16" s="2" t="inlineStr">
        <is>
          <t>Lowest month-end cash – without loan</t>
        </is>
      </c>
      <c r="C16" s="71" t="n">
        <v>3592742.5</v>
      </c>
      <c r="D16" s="71" t="n">
        <v>3592742.5</v>
      </c>
      <c r="E16" s="71" t="n">
        <v>-2438100</v>
      </c>
    </row>
    <row r="17">
      <c r="A17" s="2" t="n"/>
      <c r="B17" s="7" t="inlineStr">
        <is>
          <t>Lowest month-end cash – with loan</t>
        </is>
      </c>
      <c r="C17" s="72" t="n">
        <v>4140817.5</v>
      </c>
      <c r="D17" s="72" t="n">
        <v>4140817.5</v>
      </c>
      <c r="E17" s="72" t="n">
        <v>-2096764.710747973</v>
      </c>
    </row>
    <row r="18">
      <c r="A18" s="2" t="n"/>
      <c r="B18" s="2" t="inlineStr">
        <is>
          <t>Runway (months) – without loan</t>
        </is>
      </c>
      <c r="C18" s="73" t="inlineStr">
        <is>
          <t>Self-funding</t>
        </is>
      </c>
      <c r="D18" s="73" t="inlineStr">
        <is>
          <t>Self-funding</t>
        </is>
      </c>
      <c r="E18" s="73" t="n">
        <v>7.4</v>
      </c>
    </row>
    <row r="19">
      <c r="A19" s="2" t="n"/>
      <c r="B19" s="7" t="inlineStr">
        <is>
          <t>Runway (months) – with loan</t>
        </is>
      </c>
      <c r="C19" s="74" t="inlineStr">
        <is>
          <t>Self-funding</t>
        </is>
      </c>
      <c r="D19" s="74" t="inlineStr">
        <is>
          <t>Self-funding</t>
        </is>
      </c>
      <c r="E19" s="74" t="n">
        <v>8.300000000000001</v>
      </c>
    </row>
    <row r="20">
      <c r="A20" s="2" t="n"/>
      <c r="B20" s="2" t="inlineStr">
        <is>
          <t>Extra fixed cost absorbable before cash &lt; 0 in 12m – without loan (USD/month)</t>
        </is>
      </c>
      <c r="C20" s="71" t="n">
        <v>1254090.662278366</v>
      </c>
      <c r="D20" s="71" t="n">
        <v>792972.0311220312</v>
      </c>
      <c r="E20" s="71" t="n">
        <v>0</v>
      </c>
    </row>
    <row r="21">
      <c r="A21" s="2" t="n"/>
      <c r="B21" s="7" t="inlineStr">
        <is>
          <t>Extra fixed cost absorbable before cash &lt; 0 in 12m – with loan (USD/month)</t>
        </is>
      </c>
      <c r="C21" s="72" t="n">
        <v>1289092.460602006</v>
      </c>
      <c r="D21" s="72" t="n">
        <v>823734.2358993004</v>
      </c>
      <c r="E21" s="72" t="n">
        <v>0</v>
      </c>
    </row>
    <row r="22">
      <c r="A22" s="2" t="n"/>
      <c r="B22" s="2" t="n"/>
      <c r="C22" s="2" t="n"/>
      <c r="D22" s="2" t="n"/>
      <c r="E22" s="2" t="n"/>
    </row>
    <row r="23">
      <c r="A23" s="2" t="n"/>
      <c r="B23" s="3" t="inlineStr">
        <is>
          <t>Stress = Downside (flat revenue, GM → 55%, DSO → 90 days) PLUS an illustrative $1.0M/month existing cost base that the case brief does not include. It is a reverse stress test, not a forecast.</t>
        </is>
      </c>
      <c r="C23" s="2" t="n"/>
      <c r="D23" s="2" t="n"/>
      <c r="E23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2026-10-11T11:09:05Z</dcterms:created>
  <dcterms:modified xmlns:dcterms="http://purl.org/dc/terms/" xmlns:xsi="http://www.w3.org/2001/XMLSchema-instance" xsi:type="dcterms:W3CDTF">2026-10-11T11:09:05Z</dcterms:modified>
</cp:coreProperties>
</file>