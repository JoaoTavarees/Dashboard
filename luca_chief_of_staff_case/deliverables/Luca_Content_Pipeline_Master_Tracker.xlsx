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Lists" sheetId="3" state="visible" r:id="rId3"/>
  </sheets>
  <definedNames>
    <definedName name="_xlnm._FilterDatabase" localSheetId="1" hidden="1">'Tracker'!$A$4:$P$304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"/>
    <numFmt numFmtId="166" formatCode="dd-mmm"/>
    <numFmt numFmtId="167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2A44"/>
      <sz val="14"/>
    </font>
    <font>
      <name val="Arial"/>
      <b val="1"/>
      <color rgb="000000FF"/>
      <sz val="10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2A44"/>
      <sz val="10"/>
    </font>
  </fonts>
  <fills count="5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2A44"/>
      </patternFill>
    </fill>
    <fill>
      <patternFill patternType="solid">
        <fgColor rgb="000F9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wrapText="1"/>
    </xf>
    <xf numFmtId="167" fontId="0" fillId="0" borderId="0" pivotButton="0" quotePrefix="0" xfId="0"/>
    <xf numFmtId="0" fontId="6" fillId="0" borderId="0" pivotButton="0" quotePrefix="0" xfId="0"/>
    <xf numFmtId="166" fontId="0" fillId="0" borderId="0" pivotButton="0" quotePrefix="0" xfId="0"/>
    <xf numFmtId="165" fontId="2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dxfs count="4">
    <dxf>
      <font>
        <b val="1"/>
        <color rgb="00C00000"/>
      </font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12" customWidth="1" min="8" max="8"/>
  </cols>
  <sheetData>
    <row r="1">
      <c r="A1" s="1" t="inlineStr">
        <is>
          <t>Weekly pipeline dashboard</t>
        </is>
      </c>
    </row>
    <row r="2">
      <c r="A2" s="2">
        <f>"As of "&amp;TEXT(Tracker!$B$2,"dd-mmm-yy")</f>
        <v/>
      </c>
    </row>
    <row r="4" ht="30" customHeight="1">
      <c r="A4" s="3" t="inlineStr">
        <is>
          <t>Stage</t>
        </is>
      </c>
      <c r="B4" s="3" t="inlineStr">
        <is>
          <t>Units in stage (WIP)</t>
        </is>
      </c>
      <c r="C4" s="3" t="inlineStr">
        <is>
          <t>Blocked</t>
        </is>
      </c>
      <c r="D4" s="3" t="inlineStr">
        <is>
          <t>Late vs. SLA</t>
        </is>
      </c>
      <c r="E4" s="3" t="inlineStr">
        <is>
          <t>Avg days in stage</t>
        </is>
      </c>
      <c r="F4" s="3" t="inlineStr">
        <is>
          <t>Rework loops (sum)</t>
        </is>
      </c>
    </row>
    <row r="5">
      <c r="A5" t="inlineStr">
        <is>
          <t>1. Brief &amp; Content</t>
        </is>
      </c>
      <c r="B5">
        <f>COUNTIF(Tracker!$E$5:$E$304,A5)</f>
        <v/>
      </c>
      <c r="C5">
        <f>COUNTIFS(Tracker!$E$5:$E$304,A5,Tracker!$K$5:$K$304,"Blocked")</f>
        <v/>
      </c>
      <c r="D5">
        <f>COUNTIFS(Tracker!$E$5:$E$304,A5,Tracker!$J$5:$J$304,"&gt;0")</f>
        <v/>
      </c>
      <c r="E5" s="4">
        <f>IFERROR(AVERAGEIFS(Tracker!$I$5:$I$304,Tracker!$E$5:$E$304,A5),"")</f>
        <v/>
      </c>
      <c r="F5">
        <f>SUMIFS(Tracker!$N$5:$N$304,Tracker!$E$5:$E$304,A5)</f>
        <v/>
      </c>
    </row>
    <row r="6">
      <c r="A6" t="inlineStr">
        <is>
          <t>2. Script</t>
        </is>
      </c>
      <c r="B6">
        <f>COUNTIF(Tracker!$E$5:$E$304,A6)</f>
        <v/>
      </c>
      <c r="C6">
        <f>COUNTIFS(Tracker!$E$5:$E$304,A6,Tracker!$K$5:$K$304,"Blocked")</f>
        <v/>
      </c>
      <c r="D6">
        <f>COUNTIFS(Tracker!$E$5:$E$304,A6,Tracker!$J$5:$J$304,"&gt;0")</f>
        <v/>
      </c>
      <c r="E6" s="4">
        <f>IFERROR(AVERAGEIFS(Tracker!$I$5:$I$304,Tracker!$E$5:$E$304,A6),"")</f>
        <v/>
      </c>
      <c r="F6">
        <f>SUMIFS(Tracker!$N$5:$N$304,Tracker!$E$5:$E$304,A6)</f>
        <v/>
      </c>
    </row>
    <row r="7">
      <c r="A7" t="inlineStr">
        <is>
          <t>3. Visual Assets</t>
        </is>
      </c>
      <c r="B7">
        <f>COUNTIF(Tracker!$E$5:$E$304,A7)</f>
        <v/>
      </c>
      <c r="C7">
        <f>COUNTIFS(Tracker!$E$5:$E$304,A7,Tracker!$K$5:$K$304,"Blocked")</f>
        <v/>
      </c>
      <c r="D7">
        <f>COUNTIFS(Tracker!$E$5:$E$304,A7,Tracker!$J$5:$J$304,"&gt;0")</f>
        <v/>
      </c>
      <c r="E7" s="4">
        <f>IFERROR(AVERAGEIFS(Tracker!$I$5:$I$304,Tracker!$E$5:$E$304,A7),"")</f>
        <v/>
      </c>
      <c r="F7">
        <f>SUMIFS(Tracker!$N$5:$N$304,Tracker!$E$5:$E$304,A7)</f>
        <v/>
      </c>
    </row>
    <row r="8">
      <c r="A8" t="inlineStr">
        <is>
          <t>4. Motion</t>
        </is>
      </c>
      <c r="B8">
        <f>COUNTIF(Tracker!$E$5:$E$304,A8)</f>
        <v/>
      </c>
      <c r="C8">
        <f>COUNTIFS(Tracker!$E$5:$E$304,A8,Tracker!$K$5:$K$304,"Blocked")</f>
        <v/>
      </c>
      <c r="D8">
        <f>COUNTIFS(Tracker!$E$5:$E$304,A8,Tracker!$J$5:$J$304,"&gt;0")</f>
        <v/>
      </c>
      <c r="E8" s="4">
        <f>IFERROR(AVERAGEIFS(Tracker!$I$5:$I$304,Tracker!$E$5:$E$304,A8),"")</f>
        <v/>
      </c>
      <c r="F8">
        <f>SUMIFS(Tracker!$N$5:$N$304,Tracker!$E$5:$E$304,A8)</f>
        <v/>
      </c>
    </row>
    <row r="9">
      <c r="A9" t="inlineStr">
        <is>
          <t>5. Final Video</t>
        </is>
      </c>
      <c r="B9">
        <f>COUNTIF(Tracker!$E$5:$E$304,A9)</f>
        <v/>
      </c>
      <c r="C9">
        <f>COUNTIFS(Tracker!$E$5:$E$304,A9,Tracker!$K$5:$K$304,"Blocked")</f>
        <v/>
      </c>
      <c r="D9">
        <f>COUNTIFS(Tracker!$E$5:$E$304,A9,Tracker!$J$5:$J$304,"&gt;0")</f>
        <v/>
      </c>
      <c r="E9" s="4">
        <f>IFERROR(AVERAGEIFS(Tracker!$I$5:$I$304,Tracker!$E$5:$E$304,A9),"")</f>
        <v/>
      </c>
      <c r="F9">
        <f>SUMIFS(Tracker!$N$5:$N$304,Tracker!$E$5:$E$304,A9)</f>
        <v/>
      </c>
    </row>
    <row r="10">
      <c r="A10" t="inlineStr">
        <is>
          <t>Done</t>
        </is>
      </c>
      <c r="B10">
        <f>COUNTIF(Tracker!$E$5:$E$304,A10)</f>
        <v/>
      </c>
      <c r="C10">
        <f>COUNTIFS(Tracker!$E$5:$E$304,A10,Tracker!$K$5:$K$304,"Blocked")</f>
        <v/>
      </c>
      <c r="D10">
        <f>COUNTIFS(Tracker!$E$5:$E$304,A10,Tracker!$J$5:$J$304,"&gt;0")</f>
        <v/>
      </c>
      <c r="E10" s="4">
        <f>IFERROR(AVERAGEIFS(Tracker!$I$5:$I$304,Tracker!$E$5:$E$304,A10),"")</f>
        <v/>
      </c>
      <c r="F10">
        <f>SUMIFS(Tracker!$N$5:$N$304,Tracker!$E$5:$E$304,A10)</f>
        <v/>
      </c>
    </row>
    <row r="13">
      <c r="A13" s="5" t="inlineStr">
        <is>
          <t>Weekly throughput vs. plan (target 30 finished videos / week)</t>
        </is>
      </c>
    </row>
    <row r="14" ht="30" customHeight="1">
      <c r="A14" s="3" t="inlineStr">
        <is>
          <t>Week</t>
        </is>
      </c>
      <c r="B14" s="3" t="inlineStr">
        <is>
          <t>Week starting</t>
        </is>
      </c>
      <c r="C14" s="3" t="inlineStr">
        <is>
          <t>Target (cum.)</t>
        </is>
      </c>
      <c r="D14" s="3" t="inlineStr">
        <is>
          <t>Finished in week</t>
        </is>
      </c>
      <c r="E14" s="3" t="inlineStr">
        <is>
          <t>Finished (cum.)</t>
        </is>
      </c>
      <c r="F14" s="3" t="inlineStr">
        <is>
          <t>Gap vs. plan</t>
        </is>
      </c>
      <c r="G14" s="3" t="inlineStr">
        <is>
          <t>Required / week to hit 300</t>
        </is>
      </c>
    </row>
    <row r="15">
      <c r="A15" t="n">
        <v>1</v>
      </c>
      <c r="B15" s="6" t="n">
        <v>46300</v>
      </c>
      <c r="C15" t="n">
        <v>30</v>
      </c>
      <c r="D15">
        <f>IF(B15&gt;Tracker!$B$2,"",COUNTIFS(Tracker!$O$5:$O$304,"&gt;="&amp;B15,Tracker!$O$5:$O$304,"&lt;"&amp;(B15+7)))</f>
        <v/>
      </c>
      <c r="E15">
        <f>IF(B15&gt;Tracker!$B$2,"",SUM($D$15:D15))</f>
        <v/>
      </c>
      <c r="F15">
        <f>IF(B15&gt;Tracker!$B$2,"",E15-C15)</f>
        <v/>
      </c>
      <c r="G15">
        <f>IF(OR(B15&gt;Tracker!$B$2,A15=10),"",ROUND((300-E15)/(10-A15),1))</f>
        <v/>
      </c>
    </row>
    <row r="16">
      <c r="A16" t="n">
        <v>2</v>
      </c>
      <c r="B16" s="6" t="n">
        <v>46307</v>
      </c>
      <c r="C16" t="n">
        <v>60</v>
      </c>
      <c r="D16">
        <f>IF(B16&gt;Tracker!$B$2,"",COUNTIFS(Tracker!$O$5:$O$304,"&gt;="&amp;B16,Tracker!$O$5:$O$304,"&lt;"&amp;(B16+7)))</f>
        <v/>
      </c>
      <c r="E16">
        <f>IF(B16&gt;Tracker!$B$2,"",SUM($D$15:D16))</f>
        <v/>
      </c>
      <c r="F16">
        <f>IF(B16&gt;Tracker!$B$2,"",E16-C16)</f>
        <v/>
      </c>
      <c r="G16">
        <f>IF(OR(B16&gt;Tracker!$B$2,A16=10),"",ROUND((300-E16)/(10-A16),1))</f>
        <v/>
      </c>
    </row>
    <row r="17">
      <c r="A17" t="n">
        <v>3</v>
      </c>
      <c r="B17" s="6" t="n">
        <v>46314</v>
      </c>
      <c r="C17" t="n">
        <v>90</v>
      </c>
      <c r="D17">
        <f>IF(B17&gt;Tracker!$B$2,"",COUNTIFS(Tracker!$O$5:$O$304,"&gt;="&amp;B17,Tracker!$O$5:$O$304,"&lt;"&amp;(B17+7)))</f>
        <v/>
      </c>
      <c r="E17">
        <f>IF(B17&gt;Tracker!$B$2,"",SUM($D$15:D17))</f>
        <v/>
      </c>
      <c r="F17">
        <f>IF(B17&gt;Tracker!$B$2,"",E17-C17)</f>
        <v/>
      </c>
      <c r="G17">
        <f>IF(OR(B17&gt;Tracker!$B$2,A17=10),"",ROUND((300-E17)/(10-A17),1))</f>
        <v/>
      </c>
    </row>
    <row r="18">
      <c r="A18" t="n">
        <v>4</v>
      </c>
      <c r="B18" s="6" t="n">
        <v>46321</v>
      </c>
      <c r="C18" t="n">
        <v>120</v>
      </c>
      <c r="D18">
        <f>IF(B18&gt;Tracker!$B$2,"",COUNTIFS(Tracker!$O$5:$O$304,"&gt;="&amp;B18,Tracker!$O$5:$O$304,"&lt;"&amp;(B18+7)))</f>
        <v/>
      </c>
      <c r="E18">
        <f>IF(B18&gt;Tracker!$B$2,"",SUM($D$15:D18))</f>
        <v/>
      </c>
      <c r="F18">
        <f>IF(B18&gt;Tracker!$B$2,"",E18-C18)</f>
        <v/>
      </c>
      <c r="G18">
        <f>IF(OR(B18&gt;Tracker!$B$2,A18=10),"",ROUND((300-E18)/(10-A18),1))</f>
        <v/>
      </c>
    </row>
    <row r="19">
      <c r="A19" t="n">
        <v>5</v>
      </c>
      <c r="B19" s="6" t="n">
        <v>46328</v>
      </c>
      <c r="C19" t="n">
        <v>150</v>
      </c>
      <c r="D19">
        <f>IF(B19&gt;Tracker!$B$2,"",COUNTIFS(Tracker!$O$5:$O$304,"&gt;="&amp;B19,Tracker!$O$5:$O$304,"&lt;"&amp;(B19+7)))</f>
        <v/>
      </c>
      <c r="E19">
        <f>IF(B19&gt;Tracker!$B$2,"",SUM($D$15:D19))</f>
        <v/>
      </c>
      <c r="F19">
        <f>IF(B19&gt;Tracker!$B$2,"",E19-C19)</f>
        <v/>
      </c>
      <c r="G19">
        <f>IF(OR(B19&gt;Tracker!$B$2,A19=10),"",ROUND((300-E19)/(10-A19),1))</f>
        <v/>
      </c>
    </row>
    <row r="20">
      <c r="A20" t="n">
        <v>6</v>
      </c>
      <c r="B20" s="6" t="n">
        <v>46335</v>
      </c>
      <c r="C20" t="n">
        <v>180</v>
      </c>
      <c r="D20">
        <f>IF(B20&gt;Tracker!$B$2,"",COUNTIFS(Tracker!$O$5:$O$304,"&gt;="&amp;B20,Tracker!$O$5:$O$304,"&lt;"&amp;(B20+7)))</f>
        <v/>
      </c>
      <c r="E20">
        <f>IF(B20&gt;Tracker!$B$2,"",SUM($D$15:D20))</f>
        <v/>
      </c>
      <c r="F20">
        <f>IF(B20&gt;Tracker!$B$2,"",E20-C20)</f>
        <v/>
      </c>
      <c r="G20">
        <f>IF(OR(B20&gt;Tracker!$B$2,A20=10),"",ROUND((300-E20)/(10-A20),1))</f>
        <v/>
      </c>
    </row>
    <row r="21">
      <c r="A21" t="n">
        <v>7</v>
      </c>
      <c r="B21" s="6" t="n">
        <v>46342</v>
      </c>
      <c r="C21" t="n">
        <v>210</v>
      </c>
      <c r="D21">
        <f>IF(B21&gt;Tracker!$B$2,"",COUNTIFS(Tracker!$O$5:$O$304,"&gt;="&amp;B21,Tracker!$O$5:$O$304,"&lt;"&amp;(B21+7)))</f>
        <v/>
      </c>
      <c r="E21">
        <f>IF(B21&gt;Tracker!$B$2,"",SUM($D$15:D21))</f>
        <v/>
      </c>
      <c r="F21">
        <f>IF(B21&gt;Tracker!$B$2,"",E21-C21)</f>
        <v/>
      </c>
      <c r="G21">
        <f>IF(OR(B21&gt;Tracker!$B$2,A21=10),"",ROUND((300-E21)/(10-A21),1))</f>
        <v/>
      </c>
    </row>
    <row r="22">
      <c r="A22" t="n">
        <v>8</v>
      </c>
      <c r="B22" s="6" t="n">
        <v>46349</v>
      </c>
      <c r="C22" t="n">
        <v>240</v>
      </c>
      <c r="D22">
        <f>IF(B22&gt;Tracker!$B$2,"",COUNTIFS(Tracker!$O$5:$O$304,"&gt;="&amp;B22,Tracker!$O$5:$O$304,"&lt;"&amp;(B22+7)))</f>
        <v/>
      </c>
      <c r="E22">
        <f>IF(B22&gt;Tracker!$B$2,"",SUM($D$15:D22))</f>
        <v/>
      </c>
      <c r="F22">
        <f>IF(B22&gt;Tracker!$B$2,"",E22-C22)</f>
        <v/>
      </c>
      <c r="G22">
        <f>IF(OR(B22&gt;Tracker!$B$2,A22=10),"",ROUND((300-E22)/(10-A22),1))</f>
        <v/>
      </c>
    </row>
    <row r="23">
      <c r="A23" t="n">
        <v>9</v>
      </c>
      <c r="B23" s="6" t="n">
        <v>46356</v>
      </c>
      <c r="C23" t="n">
        <v>270</v>
      </c>
      <c r="D23">
        <f>IF(B23&gt;Tracker!$B$2,"",COUNTIFS(Tracker!$O$5:$O$304,"&gt;="&amp;B23,Tracker!$O$5:$O$304,"&lt;"&amp;(B23+7)))</f>
        <v/>
      </c>
      <c r="E23">
        <f>IF(B23&gt;Tracker!$B$2,"",SUM($D$15:D23))</f>
        <v/>
      </c>
      <c r="F23">
        <f>IF(B23&gt;Tracker!$B$2,"",E23-C23)</f>
        <v/>
      </c>
      <c r="G23">
        <f>IF(OR(B23&gt;Tracker!$B$2,A23=10),"",ROUND((300-E23)/(10-A23),1))</f>
        <v/>
      </c>
    </row>
    <row r="24">
      <c r="A24" t="n">
        <v>10</v>
      </c>
      <c r="B24" s="6" t="n">
        <v>46363</v>
      </c>
      <c r="C24" t="n">
        <v>300</v>
      </c>
      <c r="D24">
        <f>IF(B24&gt;Tracker!$B$2,"",COUNTIFS(Tracker!$O$5:$O$304,"&gt;="&amp;B24,Tracker!$O$5:$O$304,"&lt;"&amp;(B24+7)))</f>
        <v/>
      </c>
      <c r="E24">
        <f>IF(B24&gt;Tracker!$B$2,"",SUM($D$15:D24))</f>
        <v/>
      </c>
      <c r="F24">
        <f>IF(B24&gt;Tracker!$B$2,"",E24-C24)</f>
        <v/>
      </c>
      <c r="G24">
        <f>IF(OR(B24&gt;Tracker!$B$2,A24=10),"",ROUND((300-E24)/(10-A24),1))</f>
        <v/>
      </c>
    </row>
    <row r="27">
      <c r="A27" s="5" t="inlineStr">
        <is>
          <t>Blocked units by reason and stage</t>
        </is>
      </c>
    </row>
    <row r="28" ht="30" customHeight="1">
      <c r="A28" s="3" t="inlineStr">
        <is>
          <t>Blocker reason</t>
        </is>
      </c>
      <c r="B28" s="3" t="inlineStr">
        <is>
          <t>1. Brief &amp; Content</t>
        </is>
      </c>
      <c r="C28" s="3" t="inlineStr">
        <is>
          <t>2. Script</t>
        </is>
      </c>
      <c r="D28" s="3" t="inlineStr">
        <is>
          <t>3. Visual Assets</t>
        </is>
      </c>
      <c r="E28" s="3" t="inlineStr">
        <is>
          <t>4. Motion</t>
        </is>
      </c>
      <c r="F28" s="3" t="inlineStr">
        <is>
          <t>5. Final Video</t>
        </is>
      </c>
      <c r="G28" s="3" t="inlineStr">
        <is>
          <t>Total</t>
        </is>
      </c>
    </row>
    <row r="29">
      <c r="A29">
        <f>Lists!D2</f>
        <v/>
      </c>
      <c r="B29">
        <f>COUNTIFS(Tracker!$E$5:$E$304,"1. Brief &amp; Content",Tracker!$L$5:$L$304,$A29,Tracker!$K$5:$K$304,"Blocked")</f>
        <v/>
      </c>
      <c r="C29">
        <f>COUNTIFS(Tracker!$E$5:$E$304,"2. Script",Tracker!$L$5:$L$304,$A29,Tracker!$K$5:$K$304,"Blocked")</f>
        <v/>
      </c>
      <c r="D29">
        <f>COUNTIFS(Tracker!$E$5:$E$304,"3. Visual Assets",Tracker!$L$5:$L$304,$A29,Tracker!$K$5:$K$304,"Blocked")</f>
        <v/>
      </c>
      <c r="E29">
        <f>COUNTIFS(Tracker!$E$5:$E$304,"4. Motion",Tracker!$L$5:$L$304,$A29,Tracker!$K$5:$K$304,"Blocked")</f>
        <v/>
      </c>
      <c r="F29">
        <f>COUNTIFS(Tracker!$E$5:$E$304,"5. Final Video",Tracker!$L$5:$L$304,$A29,Tracker!$K$5:$K$304,"Blocked")</f>
        <v/>
      </c>
      <c r="G29">
        <f>SUM(B29:F29)</f>
        <v/>
      </c>
    </row>
    <row r="30">
      <c r="A30">
        <f>Lists!D3</f>
        <v/>
      </c>
      <c r="B30">
        <f>COUNTIFS(Tracker!$E$5:$E$304,"1. Brief &amp; Content",Tracker!$L$5:$L$304,$A30,Tracker!$K$5:$K$304,"Blocked")</f>
        <v/>
      </c>
      <c r="C30">
        <f>COUNTIFS(Tracker!$E$5:$E$304,"2. Script",Tracker!$L$5:$L$304,$A30,Tracker!$K$5:$K$304,"Blocked")</f>
        <v/>
      </c>
      <c r="D30">
        <f>COUNTIFS(Tracker!$E$5:$E$304,"3. Visual Assets",Tracker!$L$5:$L$304,$A30,Tracker!$K$5:$K$304,"Blocked")</f>
        <v/>
      </c>
      <c r="E30">
        <f>COUNTIFS(Tracker!$E$5:$E$304,"4. Motion",Tracker!$L$5:$L$304,$A30,Tracker!$K$5:$K$304,"Blocked")</f>
        <v/>
      </c>
      <c r="F30">
        <f>COUNTIFS(Tracker!$E$5:$E$304,"5. Final Video",Tracker!$L$5:$L$304,$A30,Tracker!$K$5:$K$304,"Blocked")</f>
        <v/>
      </c>
      <c r="G30">
        <f>SUM(B30:F30)</f>
        <v/>
      </c>
    </row>
    <row r="31">
      <c r="A31">
        <f>Lists!D4</f>
        <v/>
      </c>
      <c r="B31">
        <f>COUNTIFS(Tracker!$E$5:$E$304,"1. Brief &amp; Content",Tracker!$L$5:$L$304,$A31,Tracker!$K$5:$K$304,"Blocked")</f>
        <v/>
      </c>
      <c r="C31">
        <f>COUNTIFS(Tracker!$E$5:$E$304,"2. Script",Tracker!$L$5:$L$304,$A31,Tracker!$K$5:$K$304,"Blocked")</f>
        <v/>
      </c>
      <c r="D31">
        <f>COUNTIFS(Tracker!$E$5:$E$304,"3. Visual Assets",Tracker!$L$5:$L$304,$A31,Tracker!$K$5:$K$304,"Blocked")</f>
        <v/>
      </c>
      <c r="E31">
        <f>COUNTIFS(Tracker!$E$5:$E$304,"4. Motion",Tracker!$L$5:$L$304,$A31,Tracker!$K$5:$K$304,"Blocked")</f>
        <v/>
      </c>
      <c r="F31">
        <f>COUNTIFS(Tracker!$E$5:$E$304,"5. Final Video",Tracker!$L$5:$L$304,$A31,Tracker!$K$5:$K$304,"Blocked")</f>
        <v/>
      </c>
      <c r="G31">
        <f>SUM(B31:F31)</f>
        <v/>
      </c>
    </row>
    <row r="32">
      <c r="A32">
        <f>Lists!D5</f>
        <v/>
      </c>
      <c r="B32">
        <f>COUNTIFS(Tracker!$E$5:$E$304,"1. Brief &amp; Content",Tracker!$L$5:$L$304,$A32,Tracker!$K$5:$K$304,"Blocked")</f>
        <v/>
      </c>
      <c r="C32">
        <f>COUNTIFS(Tracker!$E$5:$E$304,"2. Script",Tracker!$L$5:$L$304,$A32,Tracker!$K$5:$K$304,"Blocked")</f>
        <v/>
      </c>
      <c r="D32">
        <f>COUNTIFS(Tracker!$E$5:$E$304,"3. Visual Assets",Tracker!$L$5:$L$304,$A32,Tracker!$K$5:$K$304,"Blocked")</f>
        <v/>
      </c>
      <c r="E32">
        <f>COUNTIFS(Tracker!$E$5:$E$304,"4. Motion",Tracker!$L$5:$L$304,$A32,Tracker!$K$5:$K$304,"Blocked")</f>
        <v/>
      </c>
      <c r="F32">
        <f>COUNTIFS(Tracker!$E$5:$E$304,"5. Final Video",Tracker!$L$5:$L$304,$A32,Tracker!$K$5:$K$304,"Blocked")</f>
        <v/>
      </c>
      <c r="G32">
        <f>SUM(B32:F32)</f>
        <v/>
      </c>
    </row>
    <row r="33">
      <c r="A33">
        <f>Lists!D6</f>
        <v/>
      </c>
      <c r="B33">
        <f>COUNTIFS(Tracker!$E$5:$E$304,"1. Brief &amp; Content",Tracker!$L$5:$L$304,$A33,Tracker!$K$5:$K$304,"Blocked")</f>
        <v/>
      </c>
      <c r="C33">
        <f>COUNTIFS(Tracker!$E$5:$E$304,"2. Script",Tracker!$L$5:$L$304,$A33,Tracker!$K$5:$K$304,"Blocked")</f>
        <v/>
      </c>
      <c r="D33">
        <f>COUNTIFS(Tracker!$E$5:$E$304,"3. Visual Assets",Tracker!$L$5:$L$304,$A33,Tracker!$K$5:$K$304,"Blocked")</f>
        <v/>
      </c>
      <c r="E33">
        <f>COUNTIFS(Tracker!$E$5:$E$304,"4. Motion",Tracker!$L$5:$L$304,$A33,Tracker!$K$5:$K$304,"Blocked")</f>
        <v/>
      </c>
      <c r="F33">
        <f>COUNTIFS(Tracker!$E$5:$E$304,"5. Final Video",Tracker!$L$5:$L$304,$A33,Tracker!$K$5:$K$304,"Blocked")</f>
        <v/>
      </c>
      <c r="G33">
        <f>SUM(B33:F33)</f>
        <v/>
      </c>
    </row>
    <row r="34">
      <c r="A34">
        <f>Lists!D7</f>
        <v/>
      </c>
      <c r="B34">
        <f>COUNTIFS(Tracker!$E$5:$E$304,"1. Brief &amp; Content",Tracker!$L$5:$L$304,$A34,Tracker!$K$5:$K$304,"Blocked")</f>
        <v/>
      </c>
      <c r="C34">
        <f>COUNTIFS(Tracker!$E$5:$E$304,"2. Script",Tracker!$L$5:$L$304,$A34,Tracker!$K$5:$K$304,"Blocked")</f>
        <v/>
      </c>
      <c r="D34">
        <f>COUNTIFS(Tracker!$E$5:$E$304,"3. Visual Assets",Tracker!$L$5:$L$304,$A34,Tracker!$K$5:$K$304,"Blocked")</f>
        <v/>
      </c>
      <c r="E34">
        <f>COUNTIFS(Tracker!$E$5:$E$304,"4. Motion",Tracker!$L$5:$L$304,$A34,Tracker!$K$5:$K$304,"Blocked")</f>
        <v/>
      </c>
      <c r="F34">
        <f>COUNTIFS(Tracker!$E$5:$E$304,"5. Final Video",Tracker!$L$5:$L$304,$A34,Tracker!$K$5:$K$304,"Blocked")</f>
        <v/>
      </c>
      <c r="G34">
        <f>SUM(B34:F34)</f>
        <v/>
      </c>
    </row>
  </sheetData>
  <conditionalFormatting sqref="F15:F2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9" customWidth="1" min="4" max="4"/>
    <col width="18" customWidth="1" min="5" max="5"/>
    <col width="20" customWidth="1" min="6" max="6"/>
    <col width="12" customWidth="1" min="7" max="7"/>
    <col width="13" customWidth="1" min="8" max="8"/>
    <col width="9" customWidth="1" min="9" max="9"/>
    <col width="8" customWidth="1" min="10" max="10"/>
    <col width="11" customWidth="1" min="11" max="11"/>
    <col width="32" customWidth="1" min="12" max="12"/>
    <col width="12" customWidth="1" min="13" max="13"/>
    <col width="9" customWidth="1" min="14" max="14"/>
    <col width="11" customWidth="1" min="15" max="15"/>
    <col width="9" customWidth="1" min="16" max="16"/>
  </cols>
  <sheetData>
    <row r="1">
      <c r="A1" s="1" t="inlineStr">
        <is>
          <t>Luca – content production master tracker (300 videos / 10 weeks)</t>
        </is>
      </c>
    </row>
    <row r="2">
      <c r="A2" t="inlineStr">
        <is>
          <t>As-of date:</t>
        </is>
      </c>
      <c r="B2" s="7" t="n">
        <v>46304</v>
      </c>
      <c r="D2" s="2" t="inlineStr">
        <is>
          <t>Teal headers = the 5 key fields. One row per video. The stage owner updates their row every day before the 15-minute stand-up.</t>
        </is>
      </c>
    </row>
    <row r="4" ht="42" customHeight="1">
      <c r="A4" s="8" t="inlineStr">
        <is>
          <t>Unit ID</t>
        </is>
      </c>
      <c r="B4" s="8" t="inlineStr">
        <is>
          <t>Subject</t>
        </is>
      </c>
      <c r="C4" s="8" t="inlineStr">
        <is>
          <t>Grade</t>
        </is>
      </c>
      <c r="D4" s="8" t="inlineStr">
        <is>
          <t>Tier (A/B/C)</t>
        </is>
      </c>
      <c r="E4" s="8" t="inlineStr">
        <is>
          <t>Stage</t>
        </is>
      </c>
      <c r="F4" s="9" t="inlineStr">
        <is>
          <t>Accountable owner</t>
        </is>
      </c>
      <c r="G4" s="8" t="inlineStr">
        <is>
          <t>Stage start date</t>
        </is>
      </c>
      <c r="H4" s="9" t="inlineStr">
        <is>
          <t>Stage due date (SLA)</t>
        </is>
      </c>
      <c r="I4" s="9" t="inlineStr">
        <is>
          <t>Days in stage</t>
        </is>
      </c>
      <c r="J4" s="8" t="inlineStr">
        <is>
          <t>Days late</t>
        </is>
      </c>
      <c r="K4" s="8" t="inlineStr">
        <is>
          <t>Status</t>
        </is>
      </c>
      <c r="L4" s="9" t="inlineStr">
        <is>
          <t>Blocker reason</t>
        </is>
      </c>
      <c r="M4" s="8" t="inlineStr">
        <is>
          <t>Blocked since</t>
        </is>
      </c>
      <c r="N4" s="9" t="inlineStr">
        <is>
          <t>Rework loops</t>
        </is>
      </c>
      <c r="O4" s="8" t="inlineStr">
        <is>
          <t>Done date</t>
        </is>
      </c>
      <c r="P4" s="8" t="inlineStr">
        <is>
          <t>Target ship week</t>
        </is>
      </c>
    </row>
    <row r="5">
      <c r="A5" s="10" t="inlineStr">
        <is>
          <t>V-001</t>
        </is>
      </c>
      <c r="B5" s="10" t="inlineStr">
        <is>
          <t>Math</t>
        </is>
      </c>
      <c r="C5" s="10" t="inlineStr">
        <is>
          <t>Primaria 6</t>
        </is>
      </c>
      <c r="D5" s="10" t="inlineStr">
        <is>
          <t>B</t>
        </is>
      </c>
      <c r="E5" s="10" t="inlineStr">
        <is>
          <t>Done</t>
        </is>
      </c>
      <c r="F5" s="10" t="inlineStr">
        <is>
          <t>—</t>
        </is>
      </c>
      <c r="G5" s="11" t="n"/>
      <c r="H5" s="11">
        <f>IF(OR(G5="",E5="Done"),"",G5+IFERROR(VLOOKUP(E5,Lists!$A$2:$B$6,2,FALSE),0))</f>
        <v/>
      </c>
      <c r="I5" s="10">
        <f>IF(OR(E5="",E5="Done",G5=""),"",$B$2-G5)</f>
        <v/>
      </c>
      <c r="J5" s="10">
        <f>IF(OR(E5="",E5="Done",H5=""),"",MAX(0,$B$2-H5))</f>
        <v/>
      </c>
      <c r="K5" s="10" t="inlineStr">
        <is>
          <t>Done</t>
        </is>
      </c>
      <c r="L5" s="10" t="n"/>
      <c r="M5" s="11" t="n"/>
      <c r="N5" s="10" t="n">
        <v>1</v>
      </c>
      <c r="O5" s="11" t="n">
        <v>46304</v>
      </c>
      <c r="P5" s="10" t="n">
        <v>1</v>
      </c>
    </row>
    <row r="6">
      <c r="A6" s="10" t="inlineStr">
        <is>
          <t>V-002</t>
        </is>
      </c>
      <c r="B6" s="10" t="inlineStr">
        <is>
          <t>Spanish</t>
        </is>
      </c>
      <c r="C6" s="10" t="inlineStr">
        <is>
          <t>Secundaria 3</t>
        </is>
      </c>
      <c r="D6" s="10" t="inlineStr">
        <is>
          <t>A</t>
        </is>
      </c>
      <c r="E6" s="10" t="inlineStr">
        <is>
          <t>Done</t>
        </is>
      </c>
      <c r="F6" s="10" t="inlineStr">
        <is>
          <t>—</t>
        </is>
      </c>
      <c r="G6" s="11" t="n"/>
      <c r="H6" s="11">
        <f>IF(OR(G6="",E6="Done"),"",G6+IFERROR(VLOOKUP(E6,Lists!$A$2:$B$6,2,FALSE),0))</f>
        <v/>
      </c>
      <c r="I6" s="10">
        <f>IF(OR(E6="",E6="Done",G6=""),"",$B$2-G6)</f>
        <v/>
      </c>
      <c r="J6" s="10">
        <f>IF(OR(E6="",E6="Done",H6=""),"",MAX(0,$B$2-H6))</f>
        <v/>
      </c>
      <c r="K6" s="10" t="inlineStr">
        <is>
          <t>Done</t>
        </is>
      </c>
      <c r="L6" s="10" t="n"/>
      <c r="M6" s="11" t="n"/>
      <c r="N6" s="10" t="n">
        <v>2</v>
      </c>
      <c r="O6" s="11" t="n">
        <v>46304</v>
      </c>
      <c r="P6" s="10" t="n">
        <v>1</v>
      </c>
    </row>
    <row r="7">
      <c r="A7" s="10" t="inlineStr">
        <is>
          <t>V-003</t>
        </is>
      </c>
      <c r="B7" s="10" t="inlineStr">
        <is>
          <t>Science</t>
        </is>
      </c>
      <c r="C7" s="10" t="inlineStr">
        <is>
          <t>Primaria 4</t>
        </is>
      </c>
      <c r="D7" s="10" t="inlineStr">
        <is>
          <t>A</t>
        </is>
      </c>
      <c r="E7" s="10" t="inlineStr">
        <is>
          <t>Done</t>
        </is>
      </c>
      <c r="F7" s="10" t="inlineStr">
        <is>
          <t>—</t>
        </is>
      </c>
      <c r="G7" s="11" t="n"/>
      <c r="H7" s="11">
        <f>IF(OR(G7="",E7="Done"),"",G7+IFERROR(VLOOKUP(E7,Lists!$A$2:$B$6,2,FALSE),0))</f>
        <v/>
      </c>
      <c r="I7" s="10">
        <f>IF(OR(E7="",E7="Done",G7=""),"",$B$2-G7)</f>
        <v/>
      </c>
      <c r="J7" s="10">
        <f>IF(OR(E7="",E7="Done",H7=""),"",MAX(0,$B$2-H7))</f>
        <v/>
      </c>
      <c r="K7" s="10" t="inlineStr">
        <is>
          <t>Done</t>
        </is>
      </c>
      <c r="L7" s="10" t="n"/>
      <c r="M7" s="11" t="n"/>
      <c r="N7" s="10" t="n">
        <v>1</v>
      </c>
      <c r="O7" s="11" t="n">
        <v>46303</v>
      </c>
      <c r="P7" s="10" t="n">
        <v>1</v>
      </c>
    </row>
    <row r="8">
      <c r="A8" s="10" t="inlineStr">
        <is>
          <t>V-004</t>
        </is>
      </c>
      <c r="B8" s="10" t="inlineStr">
        <is>
          <t>History</t>
        </is>
      </c>
      <c r="C8" s="10" t="inlineStr">
        <is>
          <t>Primaria 2</t>
        </is>
      </c>
      <c r="D8" s="10" t="inlineStr">
        <is>
          <t>B</t>
        </is>
      </c>
      <c r="E8" s="10" t="inlineStr">
        <is>
          <t>Done</t>
        </is>
      </c>
      <c r="F8" s="10" t="inlineStr">
        <is>
          <t>—</t>
        </is>
      </c>
      <c r="G8" s="11" t="n"/>
      <c r="H8" s="11">
        <f>IF(OR(G8="",E8="Done"),"",G8+IFERROR(VLOOKUP(E8,Lists!$A$2:$B$6,2,FALSE),0))</f>
        <v/>
      </c>
      <c r="I8" s="10">
        <f>IF(OR(E8="",E8="Done",G8=""),"",$B$2-G8)</f>
        <v/>
      </c>
      <c r="J8" s="10">
        <f>IF(OR(E8="",E8="Done",H8=""),"",MAX(0,$B$2-H8))</f>
        <v/>
      </c>
      <c r="K8" s="10" t="inlineStr">
        <is>
          <t>Done</t>
        </is>
      </c>
      <c r="L8" s="10" t="n"/>
      <c r="M8" s="11" t="n"/>
      <c r="N8" s="10" t="n">
        <v>1</v>
      </c>
      <c r="O8" s="11" t="n">
        <v>46303</v>
      </c>
      <c r="P8" s="10" t="n">
        <v>1</v>
      </c>
    </row>
    <row r="9">
      <c r="A9" s="10" t="inlineStr">
        <is>
          <t>V-005</t>
        </is>
      </c>
      <c r="B9" s="10" t="inlineStr">
        <is>
          <t>English</t>
        </is>
      </c>
      <c r="C9" s="10" t="inlineStr">
        <is>
          <t>Primaria 2</t>
        </is>
      </c>
      <c r="D9" s="10" t="inlineStr">
        <is>
          <t>B</t>
        </is>
      </c>
      <c r="E9" s="10" t="inlineStr">
        <is>
          <t>Done</t>
        </is>
      </c>
      <c r="F9" s="10" t="inlineStr">
        <is>
          <t>—</t>
        </is>
      </c>
      <c r="G9" s="11" t="n"/>
      <c r="H9" s="11">
        <f>IF(OR(G9="",E9="Done"),"",G9+IFERROR(VLOOKUP(E9,Lists!$A$2:$B$6,2,FALSE),0))</f>
        <v/>
      </c>
      <c r="I9" s="10">
        <f>IF(OR(E9="",E9="Done",G9=""),"",$B$2-G9)</f>
        <v/>
      </c>
      <c r="J9" s="10">
        <f>IF(OR(E9="",E9="Done",H9=""),"",MAX(0,$B$2-H9))</f>
        <v/>
      </c>
      <c r="K9" s="10" t="inlineStr">
        <is>
          <t>Done</t>
        </is>
      </c>
      <c r="L9" s="10" t="n"/>
      <c r="M9" s="11" t="n"/>
      <c r="N9" s="10" t="n">
        <v>1</v>
      </c>
      <c r="O9" s="11" t="n">
        <v>46303</v>
      </c>
      <c r="P9" s="10" t="n">
        <v>1</v>
      </c>
    </row>
    <row r="10">
      <c r="A10" s="10" t="inlineStr">
        <is>
          <t>V-006</t>
        </is>
      </c>
      <c r="B10" s="10" t="inlineStr">
        <is>
          <t>Geography</t>
        </is>
      </c>
      <c r="C10" s="10" t="inlineStr">
        <is>
          <t>Primaria 4</t>
        </is>
      </c>
      <c r="D10" s="10" t="inlineStr">
        <is>
          <t>A</t>
        </is>
      </c>
      <c r="E10" s="10" t="inlineStr">
        <is>
          <t>5. Final Video</t>
        </is>
      </c>
      <c r="F10" s="10" t="inlineStr">
        <is>
          <t>Synthesia Specialist 1</t>
        </is>
      </c>
      <c r="G10" s="11" t="n">
        <v>46303</v>
      </c>
      <c r="H10" s="11">
        <f>IF(OR(G10="",E10="Done"),"",G10+IFERROR(VLOOKUP(E10,Lists!$A$2:$B$6,2,FALSE),0))</f>
        <v/>
      </c>
      <c r="I10" s="10">
        <f>IF(OR(E10="",E10="Done",G10=""),"",$B$2-G10)</f>
        <v/>
      </c>
      <c r="J10" s="10">
        <f>IF(OR(E10="",E10="Done",H10=""),"",MAX(0,$B$2-H10))</f>
        <v/>
      </c>
      <c r="K10" s="10" t="inlineStr">
        <is>
          <t>Blocked</t>
        </is>
      </c>
      <c r="L10" s="10" t="inlineStr">
        <is>
          <t>Audio / video sync</t>
        </is>
      </c>
      <c r="M10" s="11" t="n">
        <v>46304</v>
      </c>
      <c r="N10" s="10" t="n">
        <v>0</v>
      </c>
      <c r="O10" s="11" t="n"/>
      <c r="P10" s="10" t="n">
        <v>1</v>
      </c>
    </row>
    <row r="11">
      <c r="A11" s="10" t="inlineStr">
        <is>
          <t>V-007</t>
        </is>
      </c>
      <c r="B11" s="10" t="inlineStr">
        <is>
          <t>Civics</t>
        </is>
      </c>
      <c r="C11" s="10" t="inlineStr">
        <is>
          <t>Secundaria 3</t>
        </is>
      </c>
      <c r="D11" s="10" t="inlineStr">
        <is>
          <t>A</t>
        </is>
      </c>
      <c r="E11" s="10" t="inlineStr">
        <is>
          <t>5. Final Video</t>
        </is>
      </c>
      <c r="F11" s="10" t="inlineStr">
        <is>
          <t>Sound Editor 1</t>
        </is>
      </c>
      <c r="G11" s="11" t="n">
        <v>46303</v>
      </c>
      <c r="H11" s="11">
        <f>IF(OR(G11="",E11="Done"),"",G11+IFERROR(VLOOKUP(E11,Lists!$A$2:$B$6,2,FALSE),0))</f>
        <v/>
      </c>
      <c r="I11" s="10">
        <f>IF(OR(E11="",E11="Done",G11=""),"",$B$2-G11)</f>
        <v/>
      </c>
      <c r="J11" s="10">
        <f>IF(OR(E11="",E11="Done",H11=""),"",MAX(0,$B$2-H11))</f>
        <v/>
      </c>
      <c r="K11" s="10" t="inlineStr">
        <is>
          <t>Blocked</t>
        </is>
      </c>
      <c r="L11" s="10" t="inlineStr">
        <is>
          <t>Audio / video sync</t>
        </is>
      </c>
      <c r="M11" s="11" t="n">
        <v>46304</v>
      </c>
      <c r="N11" s="10" t="n">
        <v>0</v>
      </c>
      <c r="O11" s="11" t="n"/>
      <c r="P11" s="10" t="n">
        <v>1</v>
      </c>
    </row>
    <row r="12">
      <c r="A12" s="10" t="inlineStr">
        <is>
          <t>V-008</t>
        </is>
      </c>
      <c r="B12" s="10" t="inlineStr">
        <is>
          <t>Math</t>
        </is>
      </c>
      <c r="C12" s="10" t="inlineStr">
        <is>
          <t>Primaria 4</t>
        </is>
      </c>
      <c r="D12" s="10" t="inlineStr">
        <is>
          <t>B</t>
        </is>
      </c>
      <c r="E12" s="10" t="inlineStr">
        <is>
          <t>5. Final Video</t>
        </is>
      </c>
      <c r="F12" s="10" t="inlineStr">
        <is>
          <t>Synthesia Specialist 1</t>
        </is>
      </c>
      <c r="G12" s="11" t="n">
        <v>46303</v>
      </c>
      <c r="H12" s="11">
        <f>IF(OR(G12="",E12="Done"),"",G12+IFERROR(VLOOKUP(E12,Lists!$A$2:$B$6,2,FALSE),0))</f>
        <v/>
      </c>
      <c r="I12" s="10">
        <f>IF(OR(E12="",E12="Done",G12=""),"",$B$2-G12)</f>
        <v/>
      </c>
      <c r="J12" s="10">
        <f>IF(OR(E12="",E12="Done",H12=""),"",MAX(0,$B$2-H12))</f>
        <v/>
      </c>
      <c r="K12" s="10" t="inlineStr">
        <is>
          <t>Blocked</t>
        </is>
      </c>
      <c r="L12" s="10" t="inlineStr">
        <is>
          <t>Audio / video sync</t>
        </is>
      </c>
      <c r="M12" s="11" t="n">
        <v>46304</v>
      </c>
      <c r="N12" s="10" t="n">
        <v>1</v>
      </c>
      <c r="O12" s="11" t="n"/>
      <c r="P12" s="10" t="n">
        <v>1</v>
      </c>
    </row>
    <row r="13">
      <c r="A13" s="10" t="inlineStr">
        <is>
          <t>V-009</t>
        </is>
      </c>
      <c r="B13" s="10" t="inlineStr">
        <is>
          <t>Spanish</t>
        </is>
      </c>
      <c r="C13" s="10" t="inlineStr">
        <is>
          <t>Primaria 1</t>
        </is>
      </c>
      <c r="D13" s="10" t="inlineStr">
        <is>
          <t>B</t>
        </is>
      </c>
      <c r="E13" s="10" t="inlineStr">
        <is>
          <t>4. Motion</t>
        </is>
      </c>
      <c r="F13" s="10" t="inlineStr">
        <is>
          <t>Motion Designer 2</t>
        </is>
      </c>
      <c r="G13" s="11" t="n">
        <v>46301</v>
      </c>
      <c r="H13" s="11">
        <f>IF(OR(G13="",E13="Done"),"",G13+IFERROR(VLOOKUP(E13,Lists!$A$2:$B$6,2,FALSE),0))</f>
        <v/>
      </c>
      <c r="I13" s="10">
        <f>IF(OR(E13="",E13="Done",G13=""),"",$B$2-G13)</f>
        <v/>
      </c>
      <c r="J13" s="10">
        <f>IF(OR(E13="",E13="Done",H13=""),"",MAX(0,$B$2-H13))</f>
        <v/>
      </c>
      <c r="K13" s="10" t="inlineStr">
        <is>
          <t>Blocked</t>
        </is>
      </c>
      <c r="L13" s="10" t="inlineStr">
        <is>
          <t>Change request after lock</t>
        </is>
      </c>
      <c r="M13" s="11" t="n">
        <v>46302</v>
      </c>
      <c r="N13" s="10" t="n">
        <v>1</v>
      </c>
      <c r="O13" s="11" t="n"/>
      <c r="P13" s="10" t="n">
        <v>1</v>
      </c>
    </row>
    <row r="14">
      <c r="A14" s="10" t="inlineStr">
        <is>
          <t>V-010</t>
        </is>
      </c>
      <c r="B14" s="10" t="inlineStr">
        <is>
          <t>Science</t>
        </is>
      </c>
      <c r="C14" s="10" t="inlineStr">
        <is>
          <t>Secundaria 2</t>
        </is>
      </c>
      <c r="D14" s="10" t="inlineStr">
        <is>
          <t>C</t>
        </is>
      </c>
      <c r="E14" s="10" t="inlineStr">
        <is>
          <t>4. Motion</t>
        </is>
      </c>
      <c r="F14" s="10" t="inlineStr">
        <is>
          <t>Motion Designer 2</t>
        </is>
      </c>
      <c r="G14" s="11" t="n">
        <v>46302</v>
      </c>
      <c r="H14" s="11">
        <f>IF(OR(G14="",E14="Done"),"",G14+IFERROR(VLOOKUP(E14,Lists!$A$2:$B$6,2,FALSE),0))</f>
        <v/>
      </c>
      <c r="I14" s="10">
        <f>IF(OR(E14="",E14="Done",G14=""),"",$B$2-G14)</f>
        <v/>
      </c>
      <c r="J14" s="10">
        <f>IF(OR(E14="",E14="Done",H14=""),"",MAX(0,$B$2-H14))</f>
        <v/>
      </c>
      <c r="K14" s="10" t="inlineStr">
        <is>
          <t>Blocked</t>
        </is>
      </c>
      <c r="L14" s="10" t="inlineStr">
        <is>
          <t>Change request after lock</t>
        </is>
      </c>
      <c r="M14" s="11" t="n">
        <v>46303</v>
      </c>
      <c r="N14" s="10" t="n">
        <v>0</v>
      </c>
      <c r="O14" s="11" t="n"/>
      <c r="P14" s="10" t="n">
        <v>1</v>
      </c>
    </row>
    <row r="15">
      <c r="A15" s="10" t="inlineStr">
        <is>
          <t>V-011</t>
        </is>
      </c>
      <c r="B15" s="10" t="inlineStr">
        <is>
          <t>History</t>
        </is>
      </c>
      <c r="C15" s="10" t="inlineStr">
        <is>
          <t>Primaria 4</t>
        </is>
      </c>
      <c r="D15" s="10" t="inlineStr">
        <is>
          <t>A</t>
        </is>
      </c>
      <c r="E15" s="10" t="inlineStr">
        <is>
          <t>4. Motion</t>
        </is>
      </c>
      <c r="F15" s="10" t="inlineStr">
        <is>
          <t>Motion Designer 2</t>
        </is>
      </c>
      <c r="G15" s="11" t="n">
        <v>46301</v>
      </c>
      <c r="H15" s="11">
        <f>IF(OR(G15="",E15="Done"),"",G15+IFERROR(VLOOKUP(E15,Lists!$A$2:$B$6,2,FALSE),0))</f>
        <v/>
      </c>
      <c r="I15" s="10">
        <f>IF(OR(E15="",E15="Done",G15=""),"",$B$2-G15)</f>
        <v/>
      </c>
      <c r="J15" s="10">
        <f>IF(OR(E15="",E15="Done",H15=""),"",MAX(0,$B$2-H15))</f>
        <v/>
      </c>
      <c r="K15" s="10" t="inlineStr">
        <is>
          <t>Blocked</t>
        </is>
      </c>
      <c r="L15" s="10" t="inlineStr">
        <is>
          <t>Change request after lock</t>
        </is>
      </c>
      <c r="M15" s="11" t="n">
        <v>46302</v>
      </c>
      <c r="N15" s="10" t="n">
        <v>1</v>
      </c>
      <c r="O15" s="11" t="n"/>
      <c r="P15" s="10" t="n">
        <v>1</v>
      </c>
    </row>
    <row r="16">
      <c r="A16" s="10" t="inlineStr">
        <is>
          <t>V-012</t>
        </is>
      </c>
      <c r="B16" s="10" t="inlineStr">
        <is>
          <t>English</t>
        </is>
      </c>
      <c r="C16" s="10" t="inlineStr">
        <is>
          <t>Secundaria 2</t>
        </is>
      </c>
      <c r="D16" s="10" t="inlineStr">
        <is>
          <t>B</t>
        </is>
      </c>
      <c r="E16" s="10" t="inlineStr">
        <is>
          <t>4. Motion</t>
        </is>
      </c>
      <c r="F16" s="10" t="inlineStr">
        <is>
          <t>Motion Designer 1</t>
        </is>
      </c>
      <c r="G16" s="11" t="n">
        <v>46301</v>
      </c>
      <c r="H16" s="11">
        <f>IF(OR(G16="",E16="Done"),"",G16+IFERROR(VLOOKUP(E16,Lists!$A$2:$B$6,2,FALSE),0))</f>
        <v/>
      </c>
      <c r="I16" s="10">
        <f>IF(OR(E16="",E16="Done",G16=""),"",$B$2-G16)</f>
        <v/>
      </c>
      <c r="J16" s="10">
        <f>IF(OR(E16="",E16="Done",H16=""),"",MAX(0,$B$2-H16))</f>
        <v/>
      </c>
      <c r="K16" s="10" t="inlineStr">
        <is>
          <t>Blocked</t>
        </is>
      </c>
      <c r="L16" s="10" t="inlineStr">
        <is>
          <t>Change request after lock</t>
        </is>
      </c>
      <c r="M16" s="11" t="n">
        <v>46302</v>
      </c>
      <c r="N16" s="10" t="n">
        <v>0</v>
      </c>
      <c r="O16" s="11" t="n"/>
      <c r="P16" s="10" t="n">
        <v>1</v>
      </c>
    </row>
    <row r="17">
      <c r="A17" s="10" t="inlineStr">
        <is>
          <t>V-013</t>
        </is>
      </c>
      <c r="B17" s="10" t="inlineStr">
        <is>
          <t>Geography</t>
        </is>
      </c>
      <c r="C17" s="10" t="inlineStr">
        <is>
          <t>Primaria 6</t>
        </is>
      </c>
      <c r="D17" s="10" t="inlineStr">
        <is>
          <t>B</t>
        </is>
      </c>
      <c r="E17" s="10" t="inlineStr">
        <is>
          <t>4. Motion</t>
        </is>
      </c>
      <c r="F17" s="10" t="inlineStr">
        <is>
          <t>Motion Designer 2</t>
        </is>
      </c>
      <c r="G17" s="11" t="n">
        <v>46302</v>
      </c>
      <c r="H17" s="11">
        <f>IF(OR(G17="",E17="Done"),"",G17+IFERROR(VLOOKUP(E17,Lists!$A$2:$B$6,2,FALSE),0))</f>
        <v/>
      </c>
      <c r="I17" s="10">
        <f>IF(OR(E17="",E17="Done",G17=""),"",$B$2-G17)</f>
        <v/>
      </c>
      <c r="J17" s="10">
        <f>IF(OR(E17="",E17="Done",H17=""),"",MAX(0,$B$2-H17))</f>
        <v/>
      </c>
      <c r="K17" s="10" t="inlineStr">
        <is>
          <t>Blocked</t>
        </is>
      </c>
      <c r="L17" s="10" t="inlineStr">
        <is>
          <t>Change request after lock</t>
        </is>
      </c>
      <c r="M17" s="11" t="n">
        <v>46303</v>
      </c>
      <c r="N17" s="10" t="n">
        <v>1</v>
      </c>
      <c r="O17" s="11" t="n"/>
      <c r="P17" s="10" t="n">
        <v>1</v>
      </c>
    </row>
    <row r="18">
      <c r="A18" s="10" t="inlineStr">
        <is>
          <t>V-014</t>
        </is>
      </c>
      <c r="B18" s="10" t="inlineStr">
        <is>
          <t>Civics</t>
        </is>
      </c>
      <c r="C18" s="10" t="inlineStr">
        <is>
          <t>Primaria 2</t>
        </is>
      </c>
      <c r="D18" s="10" t="inlineStr">
        <is>
          <t>B</t>
        </is>
      </c>
      <c r="E18" s="10" t="inlineStr">
        <is>
          <t>4. Motion</t>
        </is>
      </c>
      <c r="F18" s="10" t="inlineStr">
        <is>
          <t>Motion Designer 2</t>
        </is>
      </c>
      <c r="G18" s="11" t="n">
        <v>46301</v>
      </c>
      <c r="H18" s="11">
        <f>IF(OR(G18="",E18="Done"),"",G18+IFERROR(VLOOKUP(E18,Lists!$A$2:$B$6,2,FALSE),0))</f>
        <v/>
      </c>
      <c r="I18" s="10">
        <f>IF(OR(E18="",E18="Done",G18=""),"",$B$2-G18)</f>
        <v/>
      </c>
      <c r="J18" s="10">
        <f>IF(OR(E18="",E18="Done",H18=""),"",MAX(0,$B$2-H18))</f>
        <v/>
      </c>
      <c r="K18" s="10" t="inlineStr">
        <is>
          <t>Blocked</t>
        </is>
      </c>
      <c r="L18" s="10" t="inlineStr">
        <is>
          <t>Change request after lock</t>
        </is>
      </c>
      <c r="M18" s="11" t="n">
        <v>46302</v>
      </c>
      <c r="N18" s="10" t="n">
        <v>1</v>
      </c>
      <c r="O18" s="11" t="n"/>
      <c r="P18" s="10" t="n">
        <v>1</v>
      </c>
    </row>
    <row r="19">
      <c r="A19" s="10" t="inlineStr">
        <is>
          <t>V-015</t>
        </is>
      </c>
      <c r="B19" s="10" t="inlineStr">
        <is>
          <t>Math</t>
        </is>
      </c>
      <c r="C19" s="10" t="inlineStr">
        <is>
          <t>Secundaria 2</t>
        </is>
      </c>
      <c r="D19" s="10" t="inlineStr">
        <is>
          <t>C</t>
        </is>
      </c>
      <c r="E19" s="10" t="inlineStr">
        <is>
          <t>4. Motion</t>
        </is>
      </c>
      <c r="F19" s="10" t="inlineStr">
        <is>
          <t>Motion Designer 1</t>
        </is>
      </c>
      <c r="G19" s="11" t="n">
        <v>46301</v>
      </c>
      <c r="H19" s="11">
        <f>IF(OR(G19="",E19="Done"),"",G19+IFERROR(VLOOKUP(E19,Lists!$A$2:$B$6,2,FALSE),0))</f>
        <v/>
      </c>
      <c r="I19" s="10">
        <f>IF(OR(E19="",E19="Done",G19=""),"",$B$2-G19)</f>
        <v/>
      </c>
      <c r="J19" s="10">
        <f>IF(OR(E19="",E19="Done",H19=""),"",MAX(0,$B$2-H19))</f>
        <v/>
      </c>
      <c r="K19" s="10" t="inlineStr">
        <is>
          <t>Blocked</t>
        </is>
      </c>
      <c r="L19" s="10" t="inlineStr">
        <is>
          <t>Change request after lock</t>
        </is>
      </c>
      <c r="M19" s="11" t="n">
        <v>46302</v>
      </c>
      <c r="N19" s="10" t="n">
        <v>1</v>
      </c>
      <c r="O19" s="11" t="n"/>
      <c r="P19" s="10" t="n">
        <v>1</v>
      </c>
    </row>
    <row r="20">
      <c r="A20" s="10" t="inlineStr">
        <is>
          <t>V-016</t>
        </is>
      </c>
      <c r="B20" s="10" t="inlineStr">
        <is>
          <t>Spanish</t>
        </is>
      </c>
      <c r="C20" s="10" t="inlineStr">
        <is>
          <t>Primaria 2</t>
        </is>
      </c>
      <c r="D20" s="10" t="inlineStr">
        <is>
          <t>A</t>
        </is>
      </c>
      <c r="E20" s="10" t="inlineStr">
        <is>
          <t>3. Visual Assets</t>
        </is>
      </c>
      <c r="F20" s="10" t="inlineStr">
        <is>
          <t>Graphic Designer 2</t>
        </is>
      </c>
      <c r="G20" s="11" t="n">
        <v>46302</v>
      </c>
      <c r="H20" s="11">
        <f>IF(OR(G20="",E20="Done"),"",G20+IFERROR(VLOOKUP(E20,Lists!$A$2:$B$6,2,FALSE),0))</f>
        <v/>
      </c>
      <c r="I20" s="10">
        <f>IF(OR(E20="",E20="Done",G20=""),"",$B$2-G20)</f>
        <v/>
      </c>
      <c r="J20" s="10">
        <f>IF(OR(E20="",E20="Done",H20=""),"",MAX(0,$B$2-H20))</f>
        <v/>
      </c>
      <c r="K20" s="10" t="inlineStr">
        <is>
          <t>Blocked</t>
        </is>
      </c>
      <c r="L20" s="10" t="inlineStr">
        <is>
          <t>Waiting for input from previous stage</t>
        </is>
      </c>
      <c r="M20" s="11" t="n">
        <v>46303</v>
      </c>
      <c r="N20" s="10" t="n">
        <v>1</v>
      </c>
      <c r="O20" s="11" t="n"/>
      <c r="P20" s="10" t="n">
        <v>1</v>
      </c>
    </row>
    <row r="21">
      <c r="A21" s="10" t="inlineStr">
        <is>
          <t>V-017</t>
        </is>
      </c>
      <c r="B21" s="10" t="inlineStr">
        <is>
          <t>Science</t>
        </is>
      </c>
      <c r="C21" s="10" t="inlineStr">
        <is>
          <t>Secundaria 1</t>
        </is>
      </c>
      <c r="D21" s="10" t="inlineStr">
        <is>
          <t>B</t>
        </is>
      </c>
      <c r="E21" s="10" t="inlineStr">
        <is>
          <t>3. Visual Assets</t>
        </is>
      </c>
      <c r="F21" s="10" t="inlineStr">
        <is>
          <t>Graphic Designer 1</t>
        </is>
      </c>
      <c r="G21" s="11" t="n">
        <v>46302</v>
      </c>
      <c r="H21" s="11">
        <f>IF(OR(G21="",E21="Done"),"",G21+IFERROR(VLOOKUP(E21,Lists!$A$2:$B$6,2,FALSE),0))</f>
        <v/>
      </c>
      <c r="I21" s="10">
        <f>IF(OR(E21="",E21="Done",G21=""),"",$B$2-G21)</f>
        <v/>
      </c>
      <c r="J21" s="10">
        <f>IF(OR(E21="",E21="Done",H21=""),"",MAX(0,$B$2-H21))</f>
        <v/>
      </c>
      <c r="K21" s="10" t="inlineStr">
        <is>
          <t>Blocked</t>
        </is>
      </c>
      <c r="L21" s="10" t="inlineStr">
        <is>
          <t>Waiting for input from previous stage</t>
        </is>
      </c>
      <c r="M21" s="11" t="n">
        <v>46303</v>
      </c>
      <c r="N21" s="10" t="n">
        <v>0</v>
      </c>
      <c r="O21" s="11" t="n"/>
      <c r="P21" s="10" t="n">
        <v>1</v>
      </c>
    </row>
    <row r="22">
      <c r="A22" s="10" t="inlineStr">
        <is>
          <t>V-018</t>
        </is>
      </c>
      <c r="B22" s="10" t="inlineStr">
        <is>
          <t>History</t>
        </is>
      </c>
      <c r="C22" s="10" t="inlineStr">
        <is>
          <t>Primaria 2</t>
        </is>
      </c>
      <c r="D22" s="10" t="inlineStr">
        <is>
          <t>C</t>
        </is>
      </c>
      <c r="E22" s="10" t="inlineStr">
        <is>
          <t>3. Visual Assets</t>
        </is>
      </c>
      <c r="F22" s="10" t="inlineStr">
        <is>
          <t>Graphic Designer 1</t>
        </is>
      </c>
      <c r="G22" s="11" t="n">
        <v>46302</v>
      </c>
      <c r="H22" s="11">
        <f>IF(OR(G22="",E22="Done"),"",G22+IFERROR(VLOOKUP(E22,Lists!$A$2:$B$6,2,FALSE),0))</f>
        <v/>
      </c>
      <c r="I22" s="10">
        <f>IF(OR(E22="",E22="Done",G22=""),"",$B$2-G22)</f>
        <v/>
      </c>
      <c r="J22" s="10">
        <f>IF(OR(E22="",E22="Done",H22=""),"",MAX(0,$B$2-H22))</f>
        <v/>
      </c>
      <c r="K22" s="10" t="inlineStr">
        <is>
          <t>Blocked</t>
        </is>
      </c>
      <c r="L22" s="10" t="inlineStr">
        <is>
          <t>Waiting for input from previous stage</t>
        </is>
      </c>
      <c r="M22" s="11" t="n">
        <v>46303</v>
      </c>
      <c r="N22" s="10" t="n">
        <v>0</v>
      </c>
      <c r="O22" s="11" t="n"/>
      <c r="P22" s="10" t="n">
        <v>1</v>
      </c>
    </row>
    <row r="23">
      <c r="A23" s="10" t="inlineStr">
        <is>
          <t>V-019</t>
        </is>
      </c>
      <c r="B23" s="10" t="inlineStr">
        <is>
          <t>English</t>
        </is>
      </c>
      <c r="C23" s="10" t="inlineStr">
        <is>
          <t>Primaria 4</t>
        </is>
      </c>
      <c r="D23" s="10" t="inlineStr">
        <is>
          <t>C</t>
        </is>
      </c>
      <c r="E23" s="10" t="inlineStr">
        <is>
          <t>3. Visual Assets</t>
        </is>
      </c>
      <c r="F23" s="10" t="inlineStr">
        <is>
          <t>Graphic Designer 2</t>
        </is>
      </c>
      <c r="G23" s="11" t="n">
        <v>46302</v>
      </c>
      <c r="H23" s="11">
        <f>IF(OR(G23="",E23="Done"),"",G23+IFERROR(VLOOKUP(E23,Lists!$A$2:$B$6,2,FALSE),0))</f>
        <v/>
      </c>
      <c r="I23" s="10">
        <f>IF(OR(E23="",E23="Done",G23=""),"",$B$2-G23)</f>
        <v/>
      </c>
      <c r="J23" s="10">
        <f>IF(OR(E23="",E23="Done",H23=""),"",MAX(0,$B$2-H23))</f>
        <v/>
      </c>
      <c r="K23" s="10" t="inlineStr">
        <is>
          <t>Blocked</t>
        </is>
      </c>
      <c r="L23" s="10" t="inlineStr">
        <is>
          <t>Waiting for input from previous stage</t>
        </is>
      </c>
      <c r="M23" s="11" t="n">
        <v>46303</v>
      </c>
      <c r="N23" s="10" t="n">
        <v>0</v>
      </c>
      <c r="O23" s="11" t="n"/>
      <c r="P23" s="10" t="n">
        <v>1</v>
      </c>
    </row>
    <row r="24">
      <c r="A24" s="10" t="inlineStr">
        <is>
          <t>V-020</t>
        </is>
      </c>
      <c r="B24" s="10" t="inlineStr">
        <is>
          <t>Geography</t>
        </is>
      </c>
      <c r="C24" s="10" t="inlineStr">
        <is>
          <t>Secundaria 2</t>
        </is>
      </c>
      <c r="D24" s="10" t="inlineStr">
        <is>
          <t>C</t>
        </is>
      </c>
      <c r="E24" s="10" t="inlineStr">
        <is>
          <t>3. Visual Assets</t>
        </is>
      </c>
      <c r="F24" s="10" t="inlineStr">
        <is>
          <t>Graphic Designer 2</t>
        </is>
      </c>
      <c r="G24" s="11" t="n">
        <v>46302</v>
      </c>
      <c r="H24" s="11">
        <f>IF(OR(G24="",E24="Done"),"",G24+IFERROR(VLOOKUP(E24,Lists!$A$2:$B$6,2,FALSE),0))</f>
        <v/>
      </c>
      <c r="I24" s="10">
        <f>IF(OR(E24="",E24="Done",G24=""),"",$B$2-G24)</f>
        <v/>
      </c>
      <c r="J24" s="10">
        <f>IF(OR(E24="",E24="Done",H24=""),"",MAX(0,$B$2-H24))</f>
        <v/>
      </c>
      <c r="K24" s="10" t="inlineStr">
        <is>
          <t>Blocked</t>
        </is>
      </c>
      <c r="L24" s="10" t="inlineStr">
        <is>
          <t>Waiting for input from previous stage</t>
        </is>
      </c>
      <c r="M24" s="11" t="n">
        <v>46303</v>
      </c>
      <c r="N24" s="10" t="n">
        <v>1</v>
      </c>
      <c r="O24" s="11" t="n"/>
      <c r="P24" s="10" t="n">
        <v>1</v>
      </c>
    </row>
    <row r="25">
      <c r="A25" s="10" t="inlineStr">
        <is>
          <t>V-021</t>
        </is>
      </c>
      <c r="B25" s="10" t="inlineStr">
        <is>
          <t>Civics</t>
        </is>
      </c>
      <c r="C25" s="10" t="inlineStr">
        <is>
          <t>Primaria 5</t>
        </is>
      </c>
      <c r="D25" s="10" t="inlineStr">
        <is>
          <t>C</t>
        </is>
      </c>
      <c r="E25" s="10" t="inlineStr">
        <is>
          <t>2. Script</t>
        </is>
      </c>
      <c r="F25" s="10" t="inlineStr">
        <is>
          <t>Scriptwriter 2</t>
        </is>
      </c>
      <c r="G25" s="11" t="n">
        <v>46300</v>
      </c>
      <c r="H25" s="11">
        <f>IF(OR(G25="",E25="Done"),"",G25+IFERROR(VLOOKUP(E25,Lists!$A$2:$B$6,2,FALSE),0))</f>
        <v/>
      </c>
      <c r="I25" s="10">
        <f>IF(OR(E25="",E25="Done",G25=""),"",$B$2-G25)</f>
        <v/>
      </c>
      <c r="J25" s="10">
        <f>IF(OR(E25="",E25="Done",H25=""),"",MAX(0,$B$2-H25))</f>
        <v/>
      </c>
      <c r="K25" s="10" t="inlineStr">
        <is>
          <t>Blocked</t>
        </is>
      </c>
      <c r="L25" s="10" t="inlineStr">
        <is>
          <t>Content misalignment / rework</t>
        </is>
      </c>
      <c r="M25" s="11" t="n">
        <v>46301</v>
      </c>
      <c r="N25" s="10" t="n">
        <v>2</v>
      </c>
      <c r="O25" s="11" t="n"/>
      <c r="P25" s="10" t="n">
        <v>1</v>
      </c>
    </row>
    <row r="26">
      <c r="A26" s="10" t="inlineStr">
        <is>
          <t>V-022</t>
        </is>
      </c>
      <c r="B26" s="10" t="inlineStr">
        <is>
          <t>Math</t>
        </is>
      </c>
      <c r="C26" s="10" t="inlineStr">
        <is>
          <t>Primaria 3</t>
        </is>
      </c>
      <c r="D26" s="10" t="inlineStr">
        <is>
          <t>A</t>
        </is>
      </c>
      <c r="E26" s="10" t="inlineStr">
        <is>
          <t>2. Script</t>
        </is>
      </c>
      <c r="F26" s="10" t="inlineStr">
        <is>
          <t>Scriptwriter 1</t>
        </is>
      </c>
      <c r="G26" s="11" t="n">
        <v>46302</v>
      </c>
      <c r="H26" s="11">
        <f>IF(OR(G26="",E26="Done"),"",G26+IFERROR(VLOOKUP(E26,Lists!$A$2:$B$6,2,FALSE),0))</f>
        <v/>
      </c>
      <c r="I26" s="10">
        <f>IF(OR(E26="",E26="Done",G26=""),"",$B$2-G26)</f>
        <v/>
      </c>
      <c r="J26" s="10">
        <f>IF(OR(E26="",E26="Done",H26=""),"",MAX(0,$B$2-H26))</f>
        <v/>
      </c>
      <c r="K26" s="10" t="inlineStr">
        <is>
          <t>Blocked</t>
        </is>
      </c>
      <c r="L26" s="10" t="inlineStr">
        <is>
          <t>Content misalignment / rework</t>
        </is>
      </c>
      <c r="M26" s="11" t="n">
        <v>46303</v>
      </c>
      <c r="N26" s="10" t="n">
        <v>2</v>
      </c>
      <c r="O26" s="11" t="n"/>
      <c r="P26" s="10" t="n">
        <v>1</v>
      </c>
    </row>
    <row r="27">
      <c r="A27" s="10" t="inlineStr">
        <is>
          <t>V-023</t>
        </is>
      </c>
      <c r="B27" s="10" t="inlineStr">
        <is>
          <t>Spanish</t>
        </is>
      </c>
      <c r="C27" s="10" t="inlineStr">
        <is>
          <t>Primaria 1</t>
        </is>
      </c>
      <c r="D27" s="10" t="inlineStr">
        <is>
          <t>C</t>
        </is>
      </c>
      <c r="E27" s="10" t="inlineStr">
        <is>
          <t>2. Script</t>
        </is>
      </c>
      <c r="F27" s="10" t="inlineStr">
        <is>
          <t>Scriptwriter 3</t>
        </is>
      </c>
      <c r="G27" s="11" t="n">
        <v>46302</v>
      </c>
      <c r="H27" s="11">
        <f>IF(OR(G27="",E27="Done"),"",G27+IFERROR(VLOOKUP(E27,Lists!$A$2:$B$6,2,FALSE),0))</f>
        <v/>
      </c>
      <c r="I27" s="10">
        <f>IF(OR(E27="",E27="Done",G27=""),"",$B$2-G27)</f>
        <v/>
      </c>
      <c r="J27" s="10">
        <f>IF(OR(E27="",E27="Done",H27=""),"",MAX(0,$B$2-H27))</f>
        <v/>
      </c>
      <c r="K27" s="10" t="inlineStr">
        <is>
          <t>Blocked</t>
        </is>
      </c>
      <c r="L27" s="10" t="inlineStr">
        <is>
          <t>Content misalignment / rework</t>
        </is>
      </c>
      <c r="M27" s="11" t="n">
        <v>46303</v>
      </c>
      <c r="N27" s="10" t="n">
        <v>2</v>
      </c>
      <c r="O27" s="11" t="n"/>
      <c r="P27" s="10" t="n">
        <v>1</v>
      </c>
    </row>
    <row r="28">
      <c r="A28" s="10" t="inlineStr">
        <is>
          <t>V-024</t>
        </is>
      </c>
      <c r="B28" s="10" t="inlineStr">
        <is>
          <t>Science</t>
        </is>
      </c>
      <c r="C28" s="10" t="inlineStr">
        <is>
          <t>Primaria 1</t>
        </is>
      </c>
      <c r="D28" s="10" t="inlineStr">
        <is>
          <t>B</t>
        </is>
      </c>
      <c r="E28" s="10" t="inlineStr">
        <is>
          <t>2. Script</t>
        </is>
      </c>
      <c r="F28" s="10" t="inlineStr">
        <is>
          <t>Scriptwriter 2</t>
        </is>
      </c>
      <c r="G28" s="11" t="n">
        <v>46300</v>
      </c>
      <c r="H28" s="11">
        <f>IF(OR(G28="",E28="Done"),"",G28+IFERROR(VLOOKUP(E28,Lists!$A$2:$B$6,2,FALSE),0))</f>
        <v/>
      </c>
      <c r="I28" s="10">
        <f>IF(OR(E28="",E28="Done",G28=""),"",$B$2-G28)</f>
        <v/>
      </c>
      <c r="J28" s="10">
        <f>IF(OR(E28="",E28="Done",H28=""),"",MAX(0,$B$2-H28))</f>
        <v/>
      </c>
      <c r="K28" s="10" t="inlineStr">
        <is>
          <t>Blocked</t>
        </is>
      </c>
      <c r="L28" s="10" t="inlineStr">
        <is>
          <t>Content misalignment / rework</t>
        </is>
      </c>
      <c r="M28" s="11" t="n">
        <v>46301</v>
      </c>
      <c r="N28" s="10" t="n">
        <v>2</v>
      </c>
      <c r="O28" s="11" t="n"/>
      <c r="P28" s="10" t="n">
        <v>1</v>
      </c>
    </row>
    <row r="29">
      <c r="A29" s="10" t="inlineStr">
        <is>
          <t>V-025</t>
        </is>
      </c>
      <c r="B29" s="10" t="inlineStr">
        <is>
          <t>History</t>
        </is>
      </c>
      <c r="C29" s="10" t="inlineStr">
        <is>
          <t>Primaria 3</t>
        </is>
      </c>
      <c r="D29" s="10" t="inlineStr">
        <is>
          <t>A</t>
        </is>
      </c>
      <c r="E29" s="10" t="inlineStr">
        <is>
          <t>2. Script</t>
        </is>
      </c>
      <c r="F29" s="10" t="inlineStr">
        <is>
          <t>Scriptwriter 2</t>
        </is>
      </c>
      <c r="G29" s="11" t="n">
        <v>46300</v>
      </c>
      <c r="H29" s="11">
        <f>IF(OR(G29="",E29="Done"),"",G29+IFERROR(VLOOKUP(E29,Lists!$A$2:$B$6,2,FALSE),0))</f>
        <v/>
      </c>
      <c r="I29" s="10">
        <f>IF(OR(E29="",E29="Done",G29=""),"",$B$2-G29)</f>
        <v/>
      </c>
      <c r="J29" s="10">
        <f>IF(OR(E29="",E29="Done",H29=""),"",MAX(0,$B$2-H29))</f>
        <v/>
      </c>
      <c r="K29" s="10" t="inlineStr">
        <is>
          <t>Blocked</t>
        </is>
      </c>
      <c r="L29" s="10" t="inlineStr">
        <is>
          <t>Content misalignment / rework</t>
        </is>
      </c>
      <c r="M29" s="11" t="n">
        <v>46301</v>
      </c>
      <c r="N29" s="10" t="n">
        <v>3</v>
      </c>
      <c r="O29" s="11" t="n"/>
      <c r="P29" s="10" t="n">
        <v>1</v>
      </c>
    </row>
    <row r="30">
      <c r="A30" s="10" t="inlineStr">
        <is>
          <t>V-026</t>
        </is>
      </c>
      <c r="B30" s="10" t="inlineStr">
        <is>
          <t>English</t>
        </is>
      </c>
      <c r="C30" s="10" t="inlineStr">
        <is>
          <t>Secundaria 1</t>
        </is>
      </c>
      <c r="D30" s="10" t="inlineStr">
        <is>
          <t>C</t>
        </is>
      </c>
      <c r="E30" s="10" t="inlineStr">
        <is>
          <t>2. Script</t>
        </is>
      </c>
      <c r="F30" s="10" t="inlineStr">
        <is>
          <t>Scriptwriter 1</t>
        </is>
      </c>
      <c r="G30" s="11" t="n">
        <v>46301</v>
      </c>
      <c r="H30" s="11">
        <f>IF(OR(G30="",E30="Done"),"",G30+IFERROR(VLOOKUP(E30,Lists!$A$2:$B$6,2,FALSE),0))</f>
        <v/>
      </c>
      <c r="I30" s="10">
        <f>IF(OR(E30="",E30="Done",G30=""),"",$B$2-G30)</f>
        <v/>
      </c>
      <c r="J30" s="10">
        <f>IF(OR(E30="",E30="Done",H30=""),"",MAX(0,$B$2-H30))</f>
        <v/>
      </c>
      <c r="K30" s="10" t="inlineStr">
        <is>
          <t>Blocked</t>
        </is>
      </c>
      <c r="L30" s="10" t="inlineStr">
        <is>
          <t>Content misalignment / rework</t>
        </is>
      </c>
      <c r="M30" s="11" t="n">
        <v>46302</v>
      </c>
      <c r="N30" s="10" t="n">
        <v>1</v>
      </c>
      <c r="O30" s="11" t="n"/>
      <c r="P30" s="10" t="n">
        <v>1</v>
      </c>
    </row>
    <row r="31">
      <c r="A31" s="10" t="inlineStr">
        <is>
          <t>V-027</t>
        </is>
      </c>
      <c r="B31" s="10" t="inlineStr">
        <is>
          <t>Geography</t>
        </is>
      </c>
      <c r="C31" s="10" t="inlineStr">
        <is>
          <t>Primaria 4</t>
        </is>
      </c>
      <c r="D31" s="10" t="inlineStr">
        <is>
          <t>A</t>
        </is>
      </c>
      <c r="E31" s="10" t="inlineStr">
        <is>
          <t>2. Script</t>
        </is>
      </c>
      <c r="F31" s="10" t="inlineStr">
        <is>
          <t>Scriptwriter 1</t>
        </is>
      </c>
      <c r="G31" s="11" t="n">
        <v>46301</v>
      </c>
      <c r="H31" s="11">
        <f>IF(OR(G31="",E31="Done"),"",G31+IFERROR(VLOOKUP(E31,Lists!$A$2:$B$6,2,FALSE),0))</f>
        <v/>
      </c>
      <c r="I31" s="10">
        <f>IF(OR(E31="",E31="Done",G31=""),"",$B$2-G31)</f>
        <v/>
      </c>
      <c r="J31" s="10">
        <f>IF(OR(E31="",E31="Done",H31=""),"",MAX(0,$B$2-H31))</f>
        <v/>
      </c>
      <c r="K31" s="10" t="inlineStr">
        <is>
          <t>Blocked</t>
        </is>
      </c>
      <c r="L31" s="10" t="inlineStr">
        <is>
          <t>Content misalignment / rework</t>
        </is>
      </c>
      <c r="M31" s="11" t="n">
        <v>46302</v>
      </c>
      <c r="N31" s="10" t="n">
        <v>1</v>
      </c>
      <c r="O31" s="11" t="n"/>
      <c r="P31" s="10" t="n">
        <v>1</v>
      </c>
    </row>
    <row r="32">
      <c r="A32" s="10" t="inlineStr">
        <is>
          <t>V-028</t>
        </is>
      </c>
      <c r="B32" s="10" t="inlineStr">
        <is>
          <t>Civics</t>
        </is>
      </c>
      <c r="C32" s="10" t="inlineStr">
        <is>
          <t>Primaria 6</t>
        </is>
      </c>
      <c r="D32" s="10" t="inlineStr">
        <is>
          <t>A</t>
        </is>
      </c>
      <c r="E32" s="10" t="inlineStr">
        <is>
          <t>2. Script</t>
        </is>
      </c>
      <c r="F32" s="10" t="inlineStr">
        <is>
          <t>Scriptwriter 1</t>
        </is>
      </c>
      <c r="G32" s="11" t="n">
        <v>46302</v>
      </c>
      <c r="H32" s="11">
        <f>IF(OR(G32="",E32="Done"),"",G32+IFERROR(VLOOKUP(E32,Lists!$A$2:$B$6,2,FALSE),0))</f>
        <v/>
      </c>
      <c r="I32" s="10">
        <f>IF(OR(E32="",E32="Done",G32=""),"",$B$2-G32)</f>
        <v/>
      </c>
      <c r="J32" s="10">
        <f>IF(OR(E32="",E32="Done",H32=""),"",MAX(0,$B$2-H32))</f>
        <v/>
      </c>
      <c r="K32" s="10" t="inlineStr">
        <is>
          <t>Blocked</t>
        </is>
      </c>
      <c r="L32" s="10" t="inlineStr">
        <is>
          <t>Content misalignment / rework</t>
        </is>
      </c>
      <c r="M32" s="11" t="n">
        <v>46303</v>
      </c>
      <c r="N32" s="10" t="n">
        <v>1</v>
      </c>
      <c r="O32" s="11" t="n"/>
      <c r="P32" s="10" t="n">
        <v>1</v>
      </c>
    </row>
    <row r="33">
      <c r="A33" s="10" t="inlineStr">
        <is>
          <t>V-029</t>
        </is>
      </c>
      <c r="B33" s="10" t="inlineStr">
        <is>
          <t>Math</t>
        </is>
      </c>
      <c r="C33" s="10" t="inlineStr">
        <is>
          <t>Primaria 6</t>
        </is>
      </c>
      <c r="D33" s="10" t="inlineStr">
        <is>
          <t>A</t>
        </is>
      </c>
      <c r="E33" s="10" t="inlineStr">
        <is>
          <t>2. Script</t>
        </is>
      </c>
      <c r="F33" s="10" t="inlineStr">
        <is>
          <t>Scriptwriter 1</t>
        </is>
      </c>
      <c r="G33" s="11" t="n">
        <v>46302</v>
      </c>
      <c r="H33" s="11">
        <f>IF(OR(G33="",E33="Done"),"",G33+IFERROR(VLOOKUP(E33,Lists!$A$2:$B$6,2,FALSE),0))</f>
        <v/>
      </c>
      <c r="I33" s="10">
        <f>IF(OR(E33="",E33="Done",G33=""),"",$B$2-G33)</f>
        <v/>
      </c>
      <c r="J33" s="10">
        <f>IF(OR(E33="",E33="Done",H33=""),"",MAX(0,$B$2-H33))</f>
        <v/>
      </c>
      <c r="K33" s="10" t="inlineStr">
        <is>
          <t>Blocked</t>
        </is>
      </c>
      <c r="L33" s="10" t="inlineStr">
        <is>
          <t>Content misalignment / rework</t>
        </is>
      </c>
      <c r="M33" s="11" t="n">
        <v>46303</v>
      </c>
      <c r="N33" s="10" t="n">
        <v>2</v>
      </c>
      <c r="O33" s="11" t="n"/>
      <c r="P33" s="10" t="n">
        <v>1</v>
      </c>
    </row>
    <row r="34">
      <c r="A34" s="10" t="inlineStr">
        <is>
          <t>V-030</t>
        </is>
      </c>
      <c r="B34" s="10" t="inlineStr">
        <is>
          <t>Spanish</t>
        </is>
      </c>
      <c r="C34" s="10" t="inlineStr">
        <is>
          <t>Primaria 5</t>
        </is>
      </c>
      <c r="D34" s="10" t="inlineStr">
        <is>
          <t>B</t>
        </is>
      </c>
      <c r="E34" s="10" t="inlineStr">
        <is>
          <t>2. Script</t>
        </is>
      </c>
      <c r="F34" s="10" t="inlineStr">
        <is>
          <t>Scriptwriter 3</t>
        </is>
      </c>
      <c r="G34" s="11" t="n">
        <v>46301</v>
      </c>
      <c r="H34" s="11">
        <f>IF(OR(G34="",E34="Done"),"",G34+IFERROR(VLOOKUP(E34,Lists!$A$2:$B$6,2,FALSE),0))</f>
        <v/>
      </c>
      <c r="I34" s="10">
        <f>IF(OR(E34="",E34="Done",G34=""),"",$B$2-G34)</f>
        <v/>
      </c>
      <c r="J34" s="10">
        <f>IF(OR(E34="",E34="Done",H34=""),"",MAX(0,$B$2-H34))</f>
        <v/>
      </c>
      <c r="K34" s="10" t="inlineStr">
        <is>
          <t>Blocked</t>
        </is>
      </c>
      <c r="L34" s="10" t="inlineStr">
        <is>
          <t>Content misalignment / rework</t>
        </is>
      </c>
      <c r="M34" s="11" t="n">
        <v>46302</v>
      </c>
      <c r="N34" s="10" t="n">
        <v>1</v>
      </c>
      <c r="O34" s="11" t="n"/>
      <c r="P34" s="10" t="n">
        <v>1</v>
      </c>
    </row>
    <row r="35">
      <c r="A35" s="10" t="inlineStr">
        <is>
          <t>V-031</t>
        </is>
      </c>
      <c r="B35" s="10" t="inlineStr">
        <is>
          <t>Science</t>
        </is>
      </c>
      <c r="C35" s="10" t="inlineStr">
        <is>
          <t>Primaria 2</t>
        </is>
      </c>
      <c r="D35" s="10" t="inlineStr">
        <is>
          <t>C</t>
        </is>
      </c>
      <c r="E35" s="10" t="inlineStr">
        <is>
          <t>2. Script</t>
        </is>
      </c>
      <c r="F35" s="10" t="inlineStr">
        <is>
          <t>Scriptwriter 2</t>
        </is>
      </c>
      <c r="G35" s="11" t="n">
        <v>46301</v>
      </c>
      <c r="H35" s="11">
        <f>IF(OR(G35="",E35="Done"),"",G35+IFERROR(VLOOKUP(E35,Lists!$A$2:$B$6,2,FALSE),0))</f>
        <v/>
      </c>
      <c r="I35" s="10">
        <f>IF(OR(E35="",E35="Done",G35=""),"",$B$2-G35)</f>
        <v/>
      </c>
      <c r="J35" s="10">
        <f>IF(OR(E35="",E35="Done",H35=""),"",MAX(0,$B$2-H35))</f>
        <v/>
      </c>
      <c r="K35" s="10" t="inlineStr">
        <is>
          <t>Blocked</t>
        </is>
      </c>
      <c r="L35" s="10" t="inlineStr">
        <is>
          <t>Content misalignment / rework</t>
        </is>
      </c>
      <c r="M35" s="11" t="n">
        <v>46302</v>
      </c>
      <c r="N35" s="10" t="n">
        <v>2</v>
      </c>
      <c r="O35" s="11" t="n"/>
      <c r="P35" s="10" t="n">
        <v>2</v>
      </c>
    </row>
    <row r="36">
      <c r="A36" s="10" t="inlineStr">
        <is>
          <t>V-032</t>
        </is>
      </c>
      <c r="B36" s="10" t="inlineStr">
        <is>
          <t>History</t>
        </is>
      </c>
      <c r="C36" s="10" t="inlineStr">
        <is>
          <t>Primaria 2</t>
        </is>
      </c>
      <c r="D36" s="10" t="inlineStr">
        <is>
          <t>B</t>
        </is>
      </c>
      <c r="E36" s="10" t="inlineStr">
        <is>
          <t>2. Script</t>
        </is>
      </c>
      <c r="F36" s="10" t="inlineStr">
        <is>
          <t>Scriptwriter 1</t>
        </is>
      </c>
      <c r="G36" s="11" t="n">
        <v>46300</v>
      </c>
      <c r="H36" s="11">
        <f>IF(OR(G36="",E36="Done"),"",G36+IFERROR(VLOOKUP(E36,Lists!$A$2:$B$6,2,FALSE),0))</f>
        <v/>
      </c>
      <c r="I36" s="10">
        <f>IF(OR(E36="",E36="Done",G36=""),"",$B$2-G36)</f>
        <v/>
      </c>
      <c r="J36" s="10">
        <f>IF(OR(E36="",E36="Done",H36=""),"",MAX(0,$B$2-H36))</f>
        <v/>
      </c>
      <c r="K36" s="10" t="inlineStr">
        <is>
          <t>Blocked</t>
        </is>
      </c>
      <c r="L36" s="10" t="inlineStr">
        <is>
          <t>Content misalignment / rework</t>
        </is>
      </c>
      <c r="M36" s="11" t="n">
        <v>46301</v>
      </c>
      <c r="N36" s="10" t="n">
        <v>2</v>
      </c>
      <c r="O36" s="11" t="n"/>
      <c r="P36" s="10" t="n">
        <v>2</v>
      </c>
    </row>
    <row r="37">
      <c r="A37" s="10" t="inlineStr">
        <is>
          <t>V-033</t>
        </is>
      </c>
      <c r="B37" s="10" t="inlineStr">
        <is>
          <t>English</t>
        </is>
      </c>
      <c r="C37" s="10" t="inlineStr">
        <is>
          <t>Secundaria 2</t>
        </is>
      </c>
      <c r="D37" s="10" t="inlineStr">
        <is>
          <t>B</t>
        </is>
      </c>
      <c r="E37" s="10" t="inlineStr">
        <is>
          <t>2. Script</t>
        </is>
      </c>
      <c r="F37" s="10" t="inlineStr">
        <is>
          <t>Scriptwriter 3</t>
        </is>
      </c>
      <c r="G37" s="11" t="n">
        <v>46302</v>
      </c>
      <c r="H37" s="11">
        <f>IF(OR(G37="",E37="Done"),"",G37+IFERROR(VLOOKUP(E37,Lists!$A$2:$B$6,2,FALSE),0))</f>
        <v/>
      </c>
      <c r="I37" s="10">
        <f>IF(OR(E37="",E37="Done",G37=""),"",$B$2-G37)</f>
        <v/>
      </c>
      <c r="J37" s="10">
        <f>IF(OR(E37="",E37="Done",H37=""),"",MAX(0,$B$2-H37))</f>
        <v/>
      </c>
      <c r="K37" s="10" t="inlineStr">
        <is>
          <t>Blocked</t>
        </is>
      </c>
      <c r="L37" s="10" t="inlineStr">
        <is>
          <t>Content misalignment / rework</t>
        </is>
      </c>
      <c r="M37" s="11" t="n">
        <v>46303</v>
      </c>
      <c r="N37" s="10" t="n">
        <v>2</v>
      </c>
      <c r="O37" s="11" t="n"/>
      <c r="P37" s="10" t="n">
        <v>2</v>
      </c>
    </row>
    <row r="38">
      <c r="A38" s="10" t="inlineStr">
        <is>
          <t>V-034</t>
        </is>
      </c>
      <c r="B38" s="10" t="inlineStr">
        <is>
          <t>Geography</t>
        </is>
      </c>
      <c r="C38" s="10" t="inlineStr">
        <is>
          <t>Primaria 3</t>
        </is>
      </c>
      <c r="D38" s="10" t="inlineStr">
        <is>
          <t>A</t>
        </is>
      </c>
      <c r="E38" s="10" t="inlineStr">
        <is>
          <t>2. Script</t>
        </is>
      </c>
      <c r="F38" s="10" t="inlineStr">
        <is>
          <t>Scriptwriter 3</t>
        </is>
      </c>
      <c r="G38" s="11" t="n">
        <v>46301</v>
      </c>
      <c r="H38" s="11">
        <f>IF(OR(G38="",E38="Done"),"",G38+IFERROR(VLOOKUP(E38,Lists!$A$2:$B$6,2,FALSE),0))</f>
        <v/>
      </c>
      <c r="I38" s="10">
        <f>IF(OR(E38="",E38="Done",G38=""),"",$B$2-G38)</f>
        <v/>
      </c>
      <c r="J38" s="10">
        <f>IF(OR(E38="",E38="Done",H38=""),"",MAX(0,$B$2-H38))</f>
        <v/>
      </c>
      <c r="K38" s="10" t="inlineStr">
        <is>
          <t>Blocked</t>
        </is>
      </c>
      <c r="L38" s="10" t="inlineStr">
        <is>
          <t>Content misalignment / rework</t>
        </is>
      </c>
      <c r="M38" s="11" t="n">
        <v>46302</v>
      </c>
      <c r="N38" s="10" t="n">
        <v>2</v>
      </c>
      <c r="O38" s="11" t="n"/>
      <c r="P38" s="10" t="n">
        <v>2</v>
      </c>
    </row>
    <row r="39">
      <c r="A39" s="10" t="inlineStr">
        <is>
          <t>V-035</t>
        </is>
      </c>
      <c r="B39" s="10" t="inlineStr">
        <is>
          <t>Civics</t>
        </is>
      </c>
      <c r="C39" s="10" t="inlineStr">
        <is>
          <t>Secundaria 3</t>
        </is>
      </c>
      <c r="D39" s="10" t="inlineStr">
        <is>
          <t>B</t>
        </is>
      </c>
      <c r="E39" s="10" t="inlineStr">
        <is>
          <t>2. Script</t>
        </is>
      </c>
      <c r="F39" s="10" t="inlineStr">
        <is>
          <t>Scriptwriter 1</t>
        </is>
      </c>
      <c r="G39" s="11" t="n">
        <v>46301</v>
      </c>
      <c r="H39" s="11">
        <f>IF(OR(G39="",E39="Done"),"",G39+IFERROR(VLOOKUP(E39,Lists!$A$2:$B$6,2,FALSE),0))</f>
        <v/>
      </c>
      <c r="I39" s="10">
        <f>IF(OR(E39="",E39="Done",G39=""),"",$B$2-G39)</f>
        <v/>
      </c>
      <c r="J39" s="10">
        <f>IF(OR(E39="",E39="Done",H39=""),"",MAX(0,$B$2-H39))</f>
        <v/>
      </c>
      <c r="K39" s="10" t="inlineStr">
        <is>
          <t>Blocked</t>
        </is>
      </c>
      <c r="L39" s="10" t="inlineStr">
        <is>
          <t>Content misalignment / rework</t>
        </is>
      </c>
      <c r="M39" s="11" t="n">
        <v>46302</v>
      </c>
      <c r="N39" s="10" t="n">
        <v>2</v>
      </c>
      <c r="O39" s="11" t="n"/>
      <c r="P39" s="10" t="n">
        <v>2</v>
      </c>
    </row>
    <row r="40">
      <c r="A40" s="10" t="inlineStr">
        <is>
          <t>V-036</t>
        </is>
      </c>
      <c r="B40" s="10" t="n"/>
      <c r="C40" s="10" t="n"/>
      <c r="D40" s="10" t="n"/>
      <c r="E40" s="10" t="n"/>
      <c r="F40" s="10" t="n"/>
      <c r="G40" s="11" t="n"/>
      <c r="H40" s="11">
        <f>IF(OR(G40="",E40="Done"),"",G40+IFERROR(VLOOKUP(E40,Lists!$A$2:$B$6,2,FALSE),0))</f>
        <v/>
      </c>
      <c r="I40" s="10">
        <f>IF(OR(E40="",E40="Done",G40=""),"",$B$2-G40)</f>
        <v/>
      </c>
      <c r="J40" s="10">
        <f>IF(OR(E40="",E40="Done",H40=""),"",MAX(0,$B$2-H40))</f>
        <v/>
      </c>
      <c r="K40" s="10" t="inlineStr">
        <is>
          <t>Not started</t>
        </is>
      </c>
      <c r="L40" s="10" t="n"/>
      <c r="M40" s="11" t="n"/>
      <c r="N40" s="10" t="n">
        <v>0</v>
      </c>
      <c r="O40" s="11" t="n"/>
      <c r="P40" s="10" t="n">
        <v>2</v>
      </c>
    </row>
    <row r="41">
      <c r="A41" s="10" t="inlineStr">
        <is>
          <t>V-037</t>
        </is>
      </c>
      <c r="B41" s="10" t="n"/>
      <c r="C41" s="10" t="n"/>
      <c r="D41" s="10" t="n"/>
      <c r="E41" s="10" t="n"/>
      <c r="F41" s="10" t="n"/>
      <c r="G41" s="11" t="n"/>
      <c r="H41" s="11">
        <f>IF(OR(G41="",E41="Done"),"",G41+IFERROR(VLOOKUP(E41,Lists!$A$2:$B$6,2,FALSE),0))</f>
        <v/>
      </c>
      <c r="I41" s="10">
        <f>IF(OR(E41="",E41="Done",G41=""),"",$B$2-G41)</f>
        <v/>
      </c>
      <c r="J41" s="10">
        <f>IF(OR(E41="",E41="Done",H41=""),"",MAX(0,$B$2-H41))</f>
        <v/>
      </c>
      <c r="K41" s="10" t="inlineStr">
        <is>
          <t>Not started</t>
        </is>
      </c>
      <c r="L41" s="10" t="n"/>
      <c r="M41" s="11" t="n"/>
      <c r="N41" s="10" t="n">
        <v>0</v>
      </c>
      <c r="O41" s="11" t="n"/>
      <c r="P41" s="10" t="n">
        <v>2</v>
      </c>
    </row>
    <row r="42">
      <c r="A42" s="10" t="inlineStr">
        <is>
          <t>V-038</t>
        </is>
      </c>
      <c r="B42" s="10" t="n"/>
      <c r="C42" s="10" t="n"/>
      <c r="D42" s="10" t="n"/>
      <c r="E42" s="10" t="n"/>
      <c r="F42" s="10" t="n"/>
      <c r="G42" s="11" t="n"/>
      <c r="H42" s="11">
        <f>IF(OR(G42="",E42="Done"),"",G42+IFERROR(VLOOKUP(E42,Lists!$A$2:$B$6,2,FALSE),0))</f>
        <v/>
      </c>
      <c r="I42" s="10">
        <f>IF(OR(E42="",E42="Done",G42=""),"",$B$2-G42)</f>
        <v/>
      </c>
      <c r="J42" s="10">
        <f>IF(OR(E42="",E42="Done",H42=""),"",MAX(0,$B$2-H42))</f>
        <v/>
      </c>
      <c r="K42" s="10" t="inlineStr">
        <is>
          <t>Not started</t>
        </is>
      </c>
      <c r="L42" s="10" t="n"/>
      <c r="M42" s="11" t="n"/>
      <c r="N42" s="10" t="n">
        <v>0</v>
      </c>
      <c r="O42" s="11" t="n"/>
      <c r="P42" s="10" t="n">
        <v>2</v>
      </c>
    </row>
    <row r="43">
      <c r="A43" s="10" t="inlineStr">
        <is>
          <t>V-039</t>
        </is>
      </c>
      <c r="B43" s="10" t="n"/>
      <c r="C43" s="10" t="n"/>
      <c r="D43" s="10" t="n"/>
      <c r="E43" s="10" t="n"/>
      <c r="F43" s="10" t="n"/>
      <c r="G43" s="11" t="n"/>
      <c r="H43" s="11">
        <f>IF(OR(G43="",E43="Done"),"",G43+IFERROR(VLOOKUP(E43,Lists!$A$2:$B$6,2,FALSE),0))</f>
        <v/>
      </c>
      <c r="I43" s="10">
        <f>IF(OR(E43="",E43="Done",G43=""),"",$B$2-G43)</f>
        <v/>
      </c>
      <c r="J43" s="10">
        <f>IF(OR(E43="",E43="Done",H43=""),"",MAX(0,$B$2-H43))</f>
        <v/>
      </c>
      <c r="K43" s="10" t="inlineStr">
        <is>
          <t>Not started</t>
        </is>
      </c>
      <c r="L43" s="10" t="n"/>
      <c r="M43" s="11" t="n"/>
      <c r="N43" s="10" t="n">
        <v>0</v>
      </c>
      <c r="O43" s="11" t="n"/>
      <c r="P43" s="10" t="n">
        <v>2</v>
      </c>
    </row>
    <row r="44">
      <c r="A44" s="10" t="inlineStr">
        <is>
          <t>V-040</t>
        </is>
      </c>
      <c r="B44" s="10" t="n"/>
      <c r="C44" s="10" t="n"/>
      <c r="D44" s="10" t="n"/>
      <c r="E44" s="10" t="n"/>
      <c r="F44" s="10" t="n"/>
      <c r="G44" s="11" t="n"/>
      <c r="H44" s="11">
        <f>IF(OR(G44="",E44="Done"),"",G44+IFERROR(VLOOKUP(E44,Lists!$A$2:$B$6,2,FALSE),0))</f>
        <v/>
      </c>
      <c r="I44" s="10">
        <f>IF(OR(E44="",E44="Done",G44=""),"",$B$2-G44)</f>
        <v/>
      </c>
      <c r="J44" s="10">
        <f>IF(OR(E44="",E44="Done",H44=""),"",MAX(0,$B$2-H44))</f>
        <v/>
      </c>
      <c r="K44" s="10" t="inlineStr">
        <is>
          <t>Not started</t>
        </is>
      </c>
      <c r="L44" s="10" t="n"/>
      <c r="M44" s="11" t="n"/>
      <c r="N44" s="10" t="n">
        <v>0</v>
      </c>
      <c r="O44" s="11" t="n"/>
      <c r="P44" s="10" t="n">
        <v>2</v>
      </c>
    </row>
    <row r="45">
      <c r="A45" s="10" t="inlineStr">
        <is>
          <t>V-041</t>
        </is>
      </c>
      <c r="B45" s="10" t="n"/>
      <c r="C45" s="10" t="n"/>
      <c r="D45" s="10" t="n"/>
      <c r="E45" s="10" t="n"/>
      <c r="F45" s="10" t="n"/>
      <c r="G45" s="11" t="n"/>
      <c r="H45" s="11">
        <f>IF(OR(G45="",E45="Done"),"",G45+IFERROR(VLOOKUP(E45,Lists!$A$2:$B$6,2,FALSE),0))</f>
        <v/>
      </c>
      <c r="I45" s="10">
        <f>IF(OR(E45="",E45="Done",G45=""),"",$B$2-G45)</f>
        <v/>
      </c>
      <c r="J45" s="10">
        <f>IF(OR(E45="",E45="Done",H45=""),"",MAX(0,$B$2-H45))</f>
        <v/>
      </c>
      <c r="K45" s="10" t="inlineStr">
        <is>
          <t>Not started</t>
        </is>
      </c>
      <c r="L45" s="10" t="n"/>
      <c r="M45" s="11" t="n"/>
      <c r="N45" s="10" t="n">
        <v>0</v>
      </c>
      <c r="O45" s="11" t="n"/>
      <c r="P45" s="10" t="n">
        <v>2</v>
      </c>
    </row>
    <row r="46">
      <c r="A46" s="10" t="inlineStr">
        <is>
          <t>V-042</t>
        </is>
      </c>
      <c r="B46" s="10" t="n"/>
      <c r="C46" s="10" t="n"/>
      <c r="D46" s="10" t="n"/>
      <c r="E46" s="10" t="n"/>
      <c r="F46" s="10" t="n"/>
      <c r="G46" s="11" t="n"/>
      <c r="H46" s="11">
        <f>IF(OR(G46="",E46="Done"),"",G46+IFERROR(VLOOKUP(E46,Lists!$A$2:$B$6,2,FALSE),0))</f>
        <v/>
      </c>
      <c r="I46" s="10">
        <f>IF(OR(E46="",E46="Done",G46=""),"",$B$2-G46)</f>
        <v/>
      </c>
      <c r="J46" s="10">
        <f>IF(OR(E46="",E46="Done",H46=""),"",MAX(0,$B$2-H46))</f>
        <v/>
      </c>
      <c r="K46" s="10" t="inlineStr">
        <is>
          <t>Not started</t>
        </is>
      </c>
      <c r="L46" s="10" t="n"/>
      <c r="M46" s="11" t="n"/>
      <c r="N46" s="10" t="n">
        <v>0</v>
      </c>
      <c r="O46" s="11" t="n"/>
      <c r="P46" s="10" t="n">
        <v>2</v>
      </c>
    </row>
    <row r="47">
      <c r="A47" s="10" t="inlineStr">
        <is>
          <t>V-043</t>
        </is>
      </c>
      <c r="B47" s="10" t="n"/>
      <c r="C47" s="10" t="n"/>
      <c r="D47" s="10" t="n"/>
      <c r="E47" s="10" t="n"/>
      <c r="F47" s="10" t="n"/>
      <c r="G47" s="11" t="n"/>
      <c r="H47" s="11">
        <f>IF(OR(G47="",E47="Done"),"",G47+IFERROR(VLOOKUP(E47,Lists!$A$2:$B$6,2,FALSE),0))</f>
        <v/>
      </c>
      <c r="I47" s="10">
        <f>IF(OR(E47="",E47="Done",G47=""),"",$B$2-G47)</f>
        <v/>
      </c>
      <c r="J47" s="10">
        <f>IF(OR(E47="",E47="Done",H47=""),"",MAX(0,$B$2-H47))</f>
        <v/>
      </c>
      <c r="K47" s="10" t="inlineStr">
        <is>
          <t>Not started</t>
        </is>
      </c>
      <c r="L47" s="10" t="n"/>
      <c r="M47" s="11" t="n"/>
      <c r="N47" s="10" t="n">
        <v>0</v>
      </c>
      <c r="O47" s="11" t="n"/>
      <c r="P47" s="10" t="n">
        <v>2</v>
      </c>
    </row>
    <row r="48">
      <c r="A48" s="10" t="inlineStr">
        <is>
          <t>V-044</t>
        </is>
      </c>
      <c r="B48" s="10" t="n"/>
      <c r="C48" s="10" t="n"/>
      <c r="D48" s="10" t="n"/>
      <c r="E48" s="10" t="n"/>
      <c r="F48" s="10" t="n"/>
      <c r="G48" s="11" t="n"/>
      <c r="H48" s="11">
        <f>IF(OR(G48="",E48="Done"),"",G48+IFERROR(VLOOKUP(E48,Lists!$A$2:$B$6,2,FALSE),0))</f>
        <v/>
      </c>
      <c r="I48" s="10">
        <f>IF(OR(E48="",E48="Done",G48=""),"",$B$2-G48)</f>
        <v/>
      </c>
      <c r="J48" s="10">
        <f>IF(OR(E48="",E48="Done",H48=""),"",MAX(0,$B$2-H48))</f>
        <v/>
      </c>
      <c r="K48" s="10" t="inlineStr">
        <is>
          <t>Not started</t>
        </is>
      </c>
      <c r="L48" s="10" t="n"/>
      <c r="M48" s="11" t="n"/>
      <c r="N48" s="10" t="n">
        <v>0</v>
      </c>
      <c r="O48" s="11" t="n"/>
      <c r="P48" s="10" t="n">
        <v>2</v>
      </c>
    </row>
    <row r="49">
      <c r="A49" s="10" t="inlineStr">
        <is>
          <t>V-045</t>
        </is>
      </c>
      <c r="B49" s="10" t="n"/>
      <c r="C49" s="10" t="n"/>
      <c r="D49" s="10" t="n"/>
      <c r="E49" s="10" t="n"/>
      <c r="F49" s="10" t="n"/>
      <c r="G49" s="11" t="n"/>
      <c r="H49" s="11">
        <f>IF(OR(G49="",E49="Done"),"",G49+IFERROR(VLOOKUP(E49,Lists!$A$2:$B$6,2,FALSE),0))</f>
        <v/>
      </c>
      <c r="I49" s="10">
        <f>IF(OR(E49="",E49="Done",G49=""),"",$B$2-G49)</f>
        <v/>
      </c>
      <c r="J49" s="10">
        <f>IF(OR(E49="",E49="Done",H49=""),"",MAX(0,$B$2-H49))</f>
        <v/>
      </c>
      <c r="K49" s="10" t="inlineStr">
        <is>
          <t>Not started</t>
        </is>
      </c>
      <c r="L49" s="10" t="n"/>
      <c r="M49" s="11" t="n"/>
      <c r="N49" s="10" t="n">
        <v>0</v>
      </c>
      <c r="O49" s="11" t="n"/>
      <c r="P49" s="10" t="n">
        <v>2</v>
      </c>
    </row>
    <row r="50">
      <c r="A50" s="10" t="inlineStr">
        <is>
          <t>V-046</t>
        </is>
      </c>
      <c r="B50" s="10" t="n"/>
      <c r="C50" s="10" t="n"/>
      <c r="D50" s="10" t="n"/>
      <c r="E50" s="10" t="n"/>
      <c r="F50" s="10" t="n"/>
      <c r="G50" s="11" t="n"/>
      <c r="H50" s="11">
        <f>IF(OR(G50="",E50="Done"),"",G50+IFERROR(VLOOKUP(E50,Lists!$A$2:$B$6,2,FALSE),0))</f>
        <v/>
      </c>
      <c r="I50" s="10">
        <f>IF(OR(E50="",E50="Done",G50=""),"",$B$2-G50)</f>
        <v/>
      </c>
      <c r="J50" s="10">
        <f>IF(OR(E50="",E50="Done",H50=""),"",MAX(0,$B$2-H50))</f>
        <v/>
      </c>
      <c r="K50" s="10" t="inlineStr">
        <is>
          <t>Not started</t>
        </is>
      </c>
      <c r="L50" s="10" t="n"/>
      <c r="M50" s="11" t="n"/>
      <c r="N50" s="10" t="n">
        <v>0</v>
      </c>
      <c r="O50" s="11" t="n"/>
      <c r="P50" s="10" t="n">
        <v>2</v>
      </c>
    </row>
    <row r="51">
      <c r="A51" s="10" t="inlineStr">
        <is>
          <t>V-047</t>
        </is>
      </c>
      <c r="B51" s="10" t="n"/>
      <c r="C51" s="10" t="n"/>
      <c r="D51" s="10" t="n"/>
      <c r="E51" s="10" t="n"/>
      <c r="F51" s="10" t="n"/>
      <c r="G51" s="11" t="n"/>
      <c r="H51" s="11">
        <f>IF(OR(G51="",E51="Done"),"",G51+IFERROR(VLOOKUP(E51,Lists!$A$2:$B$6,2,FALSE),0))</f>
        <v/>
      </c>
      <c r="I51" s="10">
        <f>IF(OR(E51="",E51="Done",G51=""),"",$B$2-G51)</f>
        <v/>
      </c>
      <c r="J51" s="10">
        <f>IF(OR(E51="",E51="Done",H51=""),"",MAX(0,$B$2-H51))</f>
        <v/>
      </c>
      <c r="K51" s="10" t="inlineStr">
        <is>
          <t>Not started</t>
        </is>
      </c>
      <c r="L51" s="10" t="n"/>
      <c r="M51" s="11" t="n"/>
      <c r="N51" s="10" t="n">
        <v>0</v>
      </c>
      <c r="O51" s="11" t="n"/>
      <c r="P51" s="10" t="n">
        <v>2</v>
      </c>
    </row>
    <row r="52">
      <c r="A52" s="10" t="inlineStr">
        <is>
          <t>V-048</t>
        </is>
      </c>
      <c r="B52" s="10" t="n"/>
      <c r="C52" s="10" t="n"/>
      <c r="D52" s="10" t="n"/>
      <c r="E52" s="10" t="n"/>
      <c r="F52" s="10" t="n"/>
      <c r="G52" s="11" t="n"/>
      <c r="H52" s="11">
        <f>IF(OR(G52="",E52="Done"),"",G52+IFERROR(VLOOKUP(E52,Lists!$A$2:$B$6,2,FALSE),0))</f>
        <v/>
      </c>
      <c r="I52" s="10">
        <f>IF(OR(E52="",E52="Done",G52=""),"",$B$2-G52)</f>
        <v/>
      </c>
      <c r="J52" s="10">
        <f>IF(OR(E52="",E52="Done",H52=""),"",MAX(0,$B$2-H52))</f>
        <v/>
      </c>
      <c r="K52" s="10" t="inlineStr">
        <is>
          <t>Not started</t>
        </is>
      </c>
      <c r="L52" s="10" t="n"/>
      <c r="M52" s="11" t="n"/>
      <c r="N52" s="10" t="n">
        <v>0</v>
      </c>
      <c r="O52" s="11" t="n"/>
      <c r="P52" s="10" t="n">
        <v>2</v>
      </c>
    </row>
    <row r="53">
      <c r="A53" s="10" t="inlineStr">
        <is>
          <t>V-049</t>
        </is>
      </c>
      <c r="B53" s="10" t="n"/>
      <c r="C53" s="10" t="n"/>
      <c r="D53" s="10" t="n"/>
      <c r="E53" s="10" t="n"/>
      <c r="F53" s="10" t="n"/>
      <c r="G53" s="11" t="n"/>
      <c r="H53" s="11">
        <f>IF(OR(G53="",E53="Done"),"",G53+IFERROR(VLOOKUP(E53,Lists!$A$2:$B$6,2,FALSE),0))</f>
        <v/>
      </c>
      <c r="I53" s="10">
        <f>IF(OR(E53="",E53="Done",G53=""),"",$B$2-G53)</f>
        <v/>
      </c>
      <c r="J53" s="10">
        <f>IF(OR(E53="",E53="Done",H53=""),"",MAX(0,$B$2-H53))</f>
        <v/>
      </c>
      <c r="K53" s="10" t="inlineStr">
        <is>
          <t>Not started</t>
        </is>
      </c>
      <c r="L53" s="10" t="n"/>
      <c r="M53" s="11" t="n"/>
      <c r="N53" s="10" t="n">
        <v>0</v>
      </c>
      <c r="O53" s="11" t="n"/>
      <c r="P53" s="10" t="n">
        <v>2</v>
      </c>
    </row>
    <row r="54">
      <c r="A54" s="10" t="inlineStr">
        <is>
          <t>V-050</t>
        </is>
      </c>
      <c r="B54" s="10" t="n"/>
      <c r="C54" s="10" t="n"/>
      <c r="D54" s="10" t="n"/>
      <c r="E54" s="10" t="n"/>
      <c r="F54" s="10" t="n"/>
      <c r="G54" s="11" t="n"/>
      <c r="H54" s="11">
        <f>IF(OR(G54="",E54="Done"),"",G54+IFERROR(VLOOKUP(E54,Lists!$A$2:$B$6,2,FALSE),0))</f>
        <v/>
      </c>
      <c r="I54" s="10">
        <f>IF(OR(E54="",E54="Done",G54=""),"",$B$2-G54)</f>
        <v/>
      </c>
      <c r="J54" s="10">
        <f>IF(OR(E54="",E54="Done",H54=""),"",MAX(0,$B$2-H54))</f>
        <v/>
      </c>
      <c r="K54" s="10" t="inlineStr">
        <is>
          <t>Not started</t>
        </is>
      </c>
      <c r="L54" s="10" t="n"/>
      <c r="M54" s="11" t="n"/>
      <c r="N54" s="10" t="n">
        <v>0</v>
      </c>
      <c r="O54" s="11" t="n"/>
      <c r="P54" s="10" t="n">
        <v>2</v>
      </c>
    </row>
    <row r="55">
      <c r="A55" s="10" t="inlineStr">
        <is>
          <t>V-051</t>
        </is>
      </c>
      <c r="B55" s="10" t="n"/>
      <c r="C55" s="10" t="n"/>
      <c r="D55" s="10" t="n"/>
      <c r="E55" s="10" t="n"/>
      <c r="F55" s="10" t="n"/>
      <c r="G55" s="11" t="n"/>
      <c r="H55" s="11">
        <f>IF(OR(G55="",E55="Done"),"",G55+IFERROR(VLOOKUP(E55,Lists!$A$2:$B$6,2,FALSE),0))</f>
        <v/>
      </c>
      <c r="I55" s="10">
        <f>IF(OR(E55="",E55="Done",G55=""),"",$B$2-G55)</f>
        <v/>
      </c>
      <c r="J55" s="10">
        <f>IF(OR(E55="",E55="Done",H55=""),"",MAX(0,$B$2-H55))</f>
        <v/>
      </c>
      <c r="K55" s="10" t="inlineStr">
        <is>
          <t>Not started</t>
        </is>
      </c>
      <c r="L55" s="10" t="n"/>
      <c r="M55" s="11" t="n"/>
      <c r="N55" s="10" t="n">
        <v>0</v>
      </c>
      <c r="O55" s="11" t="n"/>
      <c r="P55" s="10" t="n">
        <v>2</v>
      </c>
    </row>
    <row r="56">
      <c r="A56" s="10" t="inlineStr">
        <is>
          <t>V-052</t>
        </is>
      </c>
      <c r="B56" s="10" t="n"/>
      <c r="C56" s="10" t="n"/>
      <c r="D56" s="10" t="n"/>
      <c r="E56" s="10" t="n"/>
      <c r="F56" s="10" t="n"/>
      <c r="G56" s="11" t="n"/>
      <c r="H56" s="11">
        <f>IF(OR(G56="",E56="Done"),"",G56+IFERROR(VLOOKUP(E56,Lists!$A$2:$B$6,2,FALSE),0))</f>
        <v/>
      </c>
      <c r="I56" s="10">
        <f>IF(OR(E56="",E56="Done",G56=""),"",$B$2-G56)</f>
        <v/>
      </c>
      <c r="J56" s="10">
        <f>IF(OR(E56="",E56="Done",H56=""),"",MAX(0,$B$2-H56))</f>
        <v/>
      </c>
      <c r="K56" s="10" t="inlineStr">
        <is>
          <t>Not started</t>
        </is>
      </c>
      <c r="L56" s="10" t="n"/>
      <c r="M56" s="11" t="n"/>
      <c r="N56" s="10" t="n">
        <v>0</v>
      </c>
      <c r="O56" s="11" t="n"/>
      <c r="P56" s="10" t="n">
        <v>2</v>
      </c>
    </row>
    <row r="57">
      <c r="A57" s="10" t="inlineStr">
        <is>
          <t>V-053</t>
        </is>
      </c>
      <c r="B57" s="10" t="n"/>
      <c r="C57" s="10" t="n"/>
      <c r="D57" s="10" t="n"/>
      <c r="E57" s="10" t="n"/>
      <c r="F57" s="10" t="n"/>
      <c r="G57" s="11" t="n"/>
      <c r="H57" s="11">
        <f>IF(OR(G57="",E57="Done"),"",G57+IFERROR(VLOOKUP(E57,Lists!$A$2:$B$6,2,FALSE),0))</f>
        <v/>
      </c>
      <c r="I57" s="10">
        <f>IF(OR(E57="",E57="Done",G57=""),"",$B$2-G57)</f>
        <v/>
      </c>
      <c r="J57" s="10">
        <f>IF(OR(E57="",E57="Done",H57=""),"",MAX(0,$B$2-H57))</f>
        <v/>
      </c>
      <c r="K57" s="10" t="inlineStr">
        <is>
          <t>Not started</t>
        </is>
      </c>
      <c r="L57" s="10" t="n"/>
      <c r="M57" s="11" t="n"/>
      <c r="N57" s="10" t="n">
        <v>0</v>
      </c>
      <c r="O57" s="11" t="n"/>
      <c r="P57" s="10" t="n">
        <v>2</v>
      </c>
    </row>
    <row r="58">
      <c r="A58" s="10" t="inlineStr">
        <is>
          <t>V-054</t>
        </is>
      </c>
      <c r="B58" s="10" t="n"/>
      <c r="C58" s="10" t="n"/>
      <c r="D58" s="10" t="n"/>
      <c r="E58" s="10" t="n"/>
      <c r="F58" s="10" t="n"/>
      <c r="G58" s="11" t="n"/>
      <c r="H58" s="11">
        <f>IF(OR(G58="",E58="Done"),"",G58+IFERROR(VLOOKUP(E58,Lists!$A$2:$B$6,2,FALSE),0))</f>
        <v/>
      </c>
      <c r="I58" s="10">
        <f>IF(OR(E58="",E58="Done",G58=""),"",$B$2-G58)</f>
        <v/>
      </c>
      <c r="J58" s="10">
        <f>IF(OR(E58="",E58="Done",H58=""),"",MAX(0,$B$2-H58))</f>
        <v/>
      </c>
      <c r="K58" s="10" t="inlineStr">
        <is>
          <t>Not started</t>
        </is>
      </c>
      <c r="L58" s="10" t="n"/>
      <c r="M58" s="11" t="n"/>
      <c r="N58" s="10" t="n">
        <v>0</v>
      </c>
      <c r="O58" s="11" t="n"/>
      <c r="P58" s="10" t="n">
        <v>2</v>
      </c>
    </row>
    <row r="59">
      <c r="A59" s="10" t="inlineStr">
        <is>
          <t>V-055</t>
        </is>
      </c>
      <c r="B59" s="10" t="n"/>
      <c r="C59" s="10" t="n"/>
      <c r="D59" s="10" t="n"/>
      <c r="E59" s="10" t="n"/>
      <c r="F59" s="10" t="n"/>
      <c r="G59" s="11" t="n"/>
      <c r="H59" s="11">
        <f>IF(OR(G59="",E59="Done"),"",G59+IFERROR(VLOOKUP(E59,Lists!$A$2:$B$6,2,FALSE),0))</f>
        <v/>
      </c>
      <c r="I59" s="10">
        <f>IF(OR(E59="",E59="Done",G59=""),"",$B$2-G59)</f>
        <v/>
      </c>
      <c r="J59" s="10">
        <f>IF(OR(E59="",E59="Done",H59=""),"",MAX(0,$B$2-H59))</f>
        <v/>
      </c>
      <c r="K59" s="10" t="inlineStr">
        <is>
          <t>Not started</t>
        </is>
      </c>
      <c r="L59" s="10" t="n"/>
      <c r="M59" s="11" t="n"/>
      <c r="N59" s="10" t="n">
        <v>0</v>
      </c>
      <c r="O59" s="11" t="n"/>
      <c r="P59" s="10" t="n">
        <v>2</v>
      </c>
    </row>
    <row r="60">
      <c r="A60" s="10" t="inlineStr">
        <is>
          <t>V-056</t>
        </is>
      </c>
      <c r="B60" s="10" t="n"/>
      <c r="C60" s="10" t="n"/>
      <c r="D60" s="10" t="n"/>
      <c r="E60" s="10" t="n"/>
      <c r="F60" s="10" t="n"/>
      <c r="G60" s="11" t="n"/>
      <c r="H60" s="11">
        <f>IF(OR(G60="",E60="Done"),"",G60+IFERROR(VLOOKUP(E60,Lists!$A$2:$B$6,2,FALSE),0))</f>
        <v/>
      </c>
      <c r="I60" s="10">
        <f>IF(OR(E60="",E60="Done",G60=""),"",$B$2-G60)</f>
        <v/>
      </c>
      <c r="J60" s="10">
        <f>IF(OR(E60="",E60="Done",H60=""),"",MAX(0,$B$2-H60))</f>
        <v/>
      </c>
      <c r="K60" s="10" t="inlineStr">
        <is>
          <t>Not started</t>
        </is>
      </c>
      <c r="L60" s="10" t="n"/>
      <c r="M60" s="11" t="n"/>
      <c r="N60" s="10" t="n">
        <v>0</v>
      </c>
      <c r="O60" s="11" t="n"/>
      <c r="P60" s="10" t="n">
        <v>2</v>
      </c>
    </row>
    <row r="61">
      <c r="A61" s="10" t="inlineStr">
        <is>
          <t>V-057</t>
        </is>
      </c>
      <c r="B61" s="10" t="n"/>
      <c r="C61" s="10" t="n"/>
      <c r="D61" s="10" t="n"/>
      <c r="E61" s="10" t="n"/>
      <c r="F61" s="10" t="n"/>
      <c r="G61" s="11" t="n"/>
      <c r="H61" s="11">
        <f>IF(OR(G61="",E61="Done"),"",G61+IFERROR(VLOOKUP(E61,Lists!$A$2:$B$6,2,FALSE),0))</f>
        <v/>
      </c>
      <c r="I61" s="10">
        <f>IF(OR(E61="",E61="Done",G61=""),"",$B$2-G61)</f>
        <v/>
      </c>
      <c r="J61" s="10">
        <f>IF(OR(E61="",E61="Done",H61=""),"",MAX(0,$B$2-H61))</f>
        <v/>
      </c>
      <c r="K61" s="10" t="inlineStr">
        <is>
          <t>Not started</t>
        </is>
      </c>
      <c r="L61" s="10" t="n"/>
      <c r="M61" s="11" t="n"/>
      <c r="N61" s="10" t="n">
        <v>0</v>
      </c>
      <c r="O61" s="11" t="n"/>
      <c r="P61" s="10" t="n">
        <v>2</v>
      </c>
    </row>
    <row r="62">
      <c r="A62" s="10" t="inlineStr">
        <is>
          <t>V-058</t>
        </is>
      </c>
      <c r="B62" s="10" t="n"/>
      <c r="C62" s="10" t="n"/>
      <c r="D62" s="10" t="n"/>
      <c r="E62" s="10" t="n"/>
      <c r="F62" s="10" t="n"/>
      <c r="G62" s="11" t="n"/>
      <c r="H62" s="11">
        <f>IF(OR(G62="",E62="Done"),"",G62+IFERROR(VLOOKUP(E62,Lists!$A$2:$B$6,2,FALSE),0))</f>
        <v/>
      </c>
      <c r="I62" s="10">
        <f>IF(OR(E62="",E62="Done",G62=""),"",$B$2-G62)</f>
        <v/>
      </c>
      <c r="J62" s="10">
        <f>IF(OR(E62="",E62="Done",H62=""),"",MAX(0,$B$2-H62))</f>
        <v/>
      </c>
      <c r="K62" s="10" t="inlineStr">
        <is>
          <t>Not started</t>
        </is>
      </c>
      <c r="L62" s="10" t="n"/>
      <c r="M62" s="11" t="n"/>
      <c r="N62" s="10" t="n">
        <v>0</v>
      </c>
      <c r="O62" s="11" t="n"/>
      <c r="P62" s="10" t="n">
        <v>2</v>
      </c>
    </row>
    <row r="63">
      <c r="A63" s="10" t="inlineStr">
        <is>
          <t>V-059</t>
        </is>
      </c>
      <c r="B63" s="10" t="n"/>
      <c r="C63" s="10" t="n"/>
      <c r="D63" s="10" t="n"/>
      <c r="E63" s="10" t="n"/>
      <c r="F63" s="10" t="n"/>
      <c r="G63" s="11" t="n"/>
      <c r="H63" s="11">
        <f>IF(OR(G63="",E63="Done"),"",G63+IFERROR(VLOOKUP(E63,Lists!$A$2:$B$6,2,FALSE),0))</f>
        <v/>
      </c>
      <c r="I63" s="10">
        <f>IF(OR(E63="",E63="Done",G63=""),"",$B$2-G63)</f>
        <v/>
      </c>
      <c r="J63" s="10">
        <f>IF(OR(E63="",E63="Done",H63=""),"",MAX(0,$B$2-H63))</f>
        <v/>
      </c>
      <c r="K63" s="10" t="inlineStr">
        <is>
          <t>Not started</t>
        </is>
      </c>
      <c r="L63" s="10" t="n"/>
      <c r="M63" s="11" t="n"/>
      <c r="N63" s="10" t="n">
        <v>0</v>
      </c>
      <c r="O63" s="11" t="n"/>
      <c r="P63" s="10" t="n">
        <v>2</v>
      </c>
    </row>
    <row r="64">
      <c r="A64" s="10" t="inlineStr">
        <is>
          <t>V-060</t>
        </is>
      </c>
      <c r="B64" s="10" t="n"/>
      <c r="C64" s="10" t="n"/>
      <c r="D64" s="10" t="n"/>
      <c r="E64" s="10" t="n"/>
      <c r="F64" s="10" t="n"/>
      <c r="G64" s="11" t="n"/>
      <c r="H64" s="11">
        <f>IF(OR(G64="",E64="Done"),"",G64+IFERROR(VLOOKUP(E64,Lists!$A$2:$B$6,2,FALSE),0))</f>
        <v/>
      </c>
      <c r="I64" s="10">
        <f>IF(OR(E64="",E64="Done",G64=""),"",$B$2-G64)</f>
        <v/>
      </c>
      <c r="J64" s="10">
        <f>IF(OR(E64="",E64="Done",H64=""),"",MAX(0,$B$2-H64))</f>
        <v/>
      </c>
      <c r="K64" s="10" t="inlineStr">
        <is>
          <t>Not started</t>
        </is>
      </c>
      <c r="L64" s="10" t="n"/>
      <c r="M64" s="11" t="n"/>
      <c r="N64" s="10" t="n">
        <v>0</v>
      </c>
      <c r="O64" s="11" t="n"/>
      <c r="P64" s="10" t="n">
        <v>2</v>
      </c>
    </row>
    <row r="65">
      <c r="A65" s="10" t="inlineStr">
        <is>
          <t>V-061</t>
        </is>
      </c>
      <c r="B65" s="10" t="n"/>
      <c r="C65" s="10" t="n"/>
      <c r="D65" s="10" t="n"/>
      <c r="E65" s="10" t="n"/>
      <c r="F65" s="10" t="n"/>
      <c r="G65" s="11" t="n"/>
      <c r="H65" s="11">
        <f>IF(OR(G65="",E65="Done"),"",G65+IFERROR(VLOOKUP(E65,Lists!$A$2:$B$6,2,FALSE),0))</f>
        <v/>
      </c>
      <c r="I65" s="10">
        <f>IF(OR(E65="",E65="Done",G65=""),"",$B$2-G65)</f>
        <v/>
      </c>
      <c r="J65" s="10">
        <f>IF(OR(E65="",E65="Done",H65=""),"",MAX(0,$B$2-H65))</f>
        <v/>
      </c>
      <c r="K65" s="10" t="inlineStr">
        <is>
          <t>Not started</t>
        </is>
      </c>
      <c r="L65" s="10" t="n"/>
      <c r="M65" s="11" t="n"/>
      <c r="N65" s="10" t="n">
        <v>0</v>
      </c>
      <c r="O65" s="11" t="n"/>
      <c r="P65" s="10" t="n">
        <v>3</v>
      </c>
    </row>
    <row r="66">
      <c r="A66" s="10" t="inlineStr">
        <is>
          <t>V-062</t>
        </is>
      </c>
      <c r="B66" s="10" t="n"/>
      <c r="C66" s="10" t="n"/>
      <c r="D66" s="10" t="n"/>
      <c r="E66" s="10" t="n"/>
      <c r="F66" s="10" t="n"/>
      <c r="G66" s="11" t="n"/>
      <c r="H66" s="11">
        <f>IF(OR(G66="",E66="Done"),"",G66+IFERROR(VLOOKUP(E66,Lists!$A$2:$B$6,2,FALSE),0))</f>
        <v/>
      </c>
      <c r="I66" s="10">
        <f>IF(OR(E66="",E66="Done",G66=""),"",$B$2-G66)</f>
        <v/>
      </c>
      <c r="J66" s="10">
        <f>IF(OR(E66="",E66="Done",H66=""),"",MAX(0,$B$2-H66))</f>
        <v/>
      </c>
      <c r="K66" s="10" t="inlineStr">
        <is>
          <t>Not started</t>
        </is>
      </c>
      <c r="L66" s="10" t="n"/>
      <c r="M66" s="11" t="n"/>
      <c r="N66" s="10" t="n">
        <v>0</v>
      </c>
      <c r="O66" s="11" t="n"/>
      <c r="P66" s="10" t="n">
        <v>3</v>
      </c>
    </row>
    <row r="67">
      <c r="A67" s="10" t="inlineStr">
        <is>
          <t>V-063</t>
        </is>
      </c>
      <c r="B67" s="10" t="n"/>
      <c r="C67" s="10" t="n"/>
      <c r="D67" s="10" t="n"/>
      <c r="E67" s="10" t="n"/>
      <c r="F67" s="10" t="n"/>
      <c r="G67" s="11" t="n"/>
      <c r="H67" s="11">
        <f>IF(OR(G67="",E67="Done"),"",G67+IFERROR(VLOOKUP(E67,Lists!$A$2:$B$6,2,FALSE),0))</f>
        <v/>
      </c>
      <c r="I67" s="10">
        <f>IF(OR(E67="",E67="Done",G67=""),"",$B$2-G67)</f>
        <v/>
      </c>
      <c r="J67" s="10">
        <f>IF(OR(E67="",E67="Done",H67=""),"",MAX(0,$B$2-H67))</f>
        <v/>
      </c>
      <c r="K67" s="10" t="inlineStr">
        <is>
          <t>Not started</t>
        </is>
      </c>
      <c r="L67" s="10" t="n"/>
      <c r="M67" s="11" t="n"/>
      <c r="N67" s="10" t="n">
        <v>0</v>
      </c>
      <c r="O67" s="11" t="n"/>
      <c r="P67" s="10" t="n">
        <v>3</v>
      </c>
    </row>
    <row r="68">
      <c r="A68" s="10" t="inlineStr">
        <is>
          <t>V-064</t>
        </is>
      </c>
      <c r="B68" s="10" t="n"/>
      <c r="C68" s="10" t="n"/>
      <c r="D68" s="10" t="n"/>
      <c r="E68" s="10" t="n"/>
      <c r="F68" s="10" t="n"/>
      <c r="G68" s="11" t="n"/>
      <c r="H68" s="11">
        <f>IF(OR(G68="",E68="Done"),"",G68+IFERROR(VLOOKUP(E68,Lists!$A$2:$B$6,2,FALSE),0))</f>
        <v/>
      </c>
      <c r="I68" s="10">
        <f>IF(OR(E68="",E68="Done",G68=""),"",$B$2-G68)</f>
        <v/>
      </c>
      <c r="J68" s="10">
        <f>IF(OR(E68="",E68="Done",H68=""),"",MAX(0,$B$2-H68))</f>
        <v/>
      </c>
      <c r="K68" s="10" t="inlineStr">
        <is>
          <t>Not started</t>
        </is>
      </c>
      <c r="L68" s="10" t="n"/>
      <c r="M68" s="11" t="n"/>
      <c r="N68" s="10" t="n">
        <v>0</v>
      </c>
      <c r="O68" s="11" t="n"/>
      <c r="P68" s="10" t="n">
        <v>3</v>
      </c>
    </row>
    <row r="69">
      <c r="A69" s="10" t="inlineStr">
        <is>
          <t>V-065</t>
        </is>
      </c>
      <c r="B69" s="10" t="n"/>
      <c r="C69" s="10" t="n"/>
      <c r="D69" s="10" t="n"/>
      <c r="E69" s="10" t="n"/>
      <c r="F69" s="10" t="n"/>
      <c r="G69" s="11" t="n"/>
      <c r="H69" s="11">
        <f>IF(OR(G69="",E69="Done"),"",G69+IFERROR(VLOOKUP(E69,Lists!$A$2:$B$6,2,FALSE),0))</f>
        <v/>
      </c>
      <c r="I69" s="10">
        <f>IF(OR(E69="",E69="Done",G69=""),"",$B$2-G69)</f>
        <v/>
      </c>
      <c r="J69" s="10">
        <f>IF(OR(E69="",E69="Done",H69=""),"",MAX(0,$B$2-H69))</f>
        <v/>
      </c>
      <c r="K69" s="10" t="inlineStr">
        <is>
          <t>Not started</t>
        </is>
      </c>
      <c r="L69" s="10" t="n"/>
      <c r="M69" s="11" t="n"/>
      <c r="N69" s="10" t="n">
        <v>0</v>
      </c>
      <c r="O69" s="11" t="n"/>
      <c r="P69" s="10" t="n">
        <v>3</v>
      </c>
    </row>
    <row r="70">
      <c r="A70" s="10" t="inlineStr">
        <is>
          <t>V-066</t>
        </is>
      </c>
      <c r="B70" s="10" t="n"/>
      <c r="C70" s="10" t="n"/>
      <c r="D70" s="10" t="n"/>
      <c r="E70" s="10" t="n"/>
      <c r="F70" s="10" t="n"/>
      <c r="G70" s="11" t="n"/>
      <c r="H70" s="11">
        <f>IF(OR(G70="",E70="Done"),"",G70+IFERROR(VLOOKUP(E70,Lists!$A$2:$B$6,2,FALSE),0))</f>
        <v/>
      </c>
      <c r="I70" s="10">
        <f>IF(OR(E70="",E70="Done",G70=""),"",$B$2-G70)</f>
        <v/>
      </c>
      <c r="J70" s="10">
        <f>IF(OR(E70="",E70="Done",H70=""),"",MAX(0,$B$2-H70))</f>
        <v/>
      </c>
      <c r="K70" s="10" t="inlineStr">
        <is>
          <t>Not started</t>
        </is>
      </c>
      <c r="L70" s="10" t="n"/>
      <c r="M70" s="11" t="n"/>
      <c r="N70" s="10" t="n">
        <v>0</v>
      </c>
      <c r="O70" s="11" t="n"/>
      <c r="P70" s="10" t="n">
        <v>3</v>
      </c>
    </row>
    <row r="71">
      <c r="A71" s="10" t="inlineStr">
        <is>
          <t>V-067</t>
        </is>
      </c>
      <c r="B71" s="10" t="n"/>
      <c r="C71" s="10" t="n"/>
      <c r="D71" s="10" t="n"/>
      <c r="E71" s="10" t="n"/>
      <c r="F71" s="10" t="n"/>
      <c r="G71" s="11" t="n"/>
      <c r="H71" s="11">
        <f>IF(OR(G71="",E71="Done"),"",G71+IFERROR(VLOOKUP(E71,Lists!$A$2:$B$6,2,FALSE),0))</f>
        <v/>
      </c>
      <c r="I71" s="10">
        <f>IF(OR(E71="",E71="Done",G71=""),"",$B$2-G71)</f>
        <v/>
      </c>
      <c r="J71" s="10">
        <f>IF(OR(E71="",E71="Done",H71=""),"",MAX(0,$B$2-H71))</f>
        <v/>
      </c>
      <c r="K71" s="10" t="inlineStr">
        <is>
          <t>Not started</t>
        </is>
      </c>
      <c r="L71" s="10" t="n"/>
      <c r="M71" s="11" t="n"/>
      <c r="N71" s="10" t="n">
        <v>0</v>
      </c>
      <c r="O71" s="11" t="n"/>
      <c r="P71" s="10" t="n">
        <v>3</v>
      </c>
    </row>
    <row r="72">
      <c r="A72" s="10" t="inlineStr">
        <is>
          <t>V-068</t>
        </is>
      </c>
      <c r="B72" s="10" t="n"/>
      <c r="C72" s="10" t="n"/>
      <c r="D72" s="10" t="n"/>
      <c r="E72" s="10" t="n"/>
      <c r="F72" s="10" t="n"/>
      <c r="G72" s="11" t="n"/>
      <c r="H72" s="11">
        <f>IF(OR(G72="",E72="Done"),"",G72+IFERROR(VLOOKUP(E72,Lists!$A$2:$B$6,2,FALSE),0))</f>
        <v/>
      </c>
      <c r="I72" s="10">
        <f>IF(OR(E72="",E72="Done",G72=""),"",$B$2-G72)</f>
        <v/>
      </c>
      <c r="J72" s="10">
        <f>IF(OR(E72="",E72="Done",H72=""),"",MAX(0,$B$2-H72))</f>
        <v/>
      </c>
      <c r="K72" s="10" t="inlineStr">
        <is>
          <t>Not started</t>
        </is>
      </c>
      <c r="L72" s="10" t="n"/>
      <c r="M72" s="11" t="n"/>
      <c r="N72" s="10" t="n">
        <v>0</v>
      </c>
      <c r="O72" s="11" t="n"/>
      <c r="P72" s="10" t="n">
        <v>3</v>
      </c>
    </row>
    <row r="73">
      <c r="A73" s="10" t="inlineStr">
        <is>
          <t>V-069</t>
        </is>
      </c>
      <c r="B73" s="10" t="n"/>
      <c r="C73" s="10" t="n"/>
      <c r="D73" s="10" t="n"/>
      <c r="E73" s="10" t="n"/>
      <c r="F73" s="10" t="n"/>
      <c r="G73" s="11" t="n"/>
      <c r="H73" s="11">
        <f>IF(OR(G73="",E73="Done"),"",G73+IFERROR(VLOOKUP(E73,Lists!$A$2:$B$6,2,FALSE),0))</f>
        <v/>
      </c>
      <c r="I73" s="10">
        <f>IF(OR(E73="",E73="Done",G73=""),"",$B$2-G73)</f>
        <v/>
      </c>
      <c r="J73" s="10">
        <f>IF(OR(E73="",E73="Done",H73=""),"",MAX(0,$B$2-H73))</f>
        <v/>
      </c>
      <c r="K73" s="10" t="inlineStr">
        <is>
          <t>Not started</t>
        </is>
      </c>
      <c r="L73" s="10" t="n"/>
      <c r="M73" s="11" t="n"/>
      <c r="N73" s="10" t="n">
        <v>0</v>
      </c>
      <c r="O73" s="11" t="n"/>
      <c r="P73" s="10" t="n">
        <v>3</v>
      </c>
    </row>
    <row r="74">
      <c r="A74" s="10" t="inlineStr">
        <is>
          <t>V-070</t>
        </is>
      </c>
      <c r="B74" s="10" t="n"/>
      <c r="C74" s="10" t="n"/>
      <c r="D74" s="10" t="n"/>
      <c r="E74" s="10" t="n"/>
      <c r="F74" s="10" t="n"/>
      <c r="G74" s="11" t="n"/>
      <c r="H74" s="11">
        <f>IF(OR(G74="",E74="Done"),"",G74+IFERROR(VLOOKUP(E74,Lists!$A$2:$B$6,2,FALSE),0))</f>
        <v/>
      </c>
      <c r="I74" s="10">
        <f>IF(OR(E74="",E74="Done",G74=""),"",$B$2-G74)</f>
        <v/>
      </c>
      <c r="J74" s="10">
        <f>IF(OR(E74="",E74="Done",H74=""),"",MAX(0,$B$2-H74))</f>
        <v/>
      </c>
      <c r="K74" s="10" t="inlineStr">
        <is>
          <t>Not started</t>
        </is>
      </c>
      <c r="L74" s="10" t="n"/>
      <c r="M74" s="11" t="n"/>
      <c r="N74" s="10" t="n">
        <v>0</v>
      </c>
      <c r="O74" s="11" t="n"/>
      <c r="P74" s="10" t="n">
        <v>3</v>
      </c>
    </row>
    <row r="75">
      <c r="A75" s="10" t="inlineStr">
        <is>
          <t>V-071</t>
        </is>
      </c>
      <c r="B75" s="10" t="n"/>
      <c r="C75" s="10" t="n"/>
      <c r="D75" s="10" t="n"/>
      <c r="E75" s="10" t="n"/>
      <c r="F75" s="10" t="n"/>
      <c r="G75" s="11" t="n"/>
      <c r="H75" s="11">
        <f>IF(OR(G75="",E75="Done"),"",G75+IFERROR(VLOOKUP(E75,Lists!$A$2:$B$6,2,FALSE),0))</f>
        <v/>
      </c>
      <c r="I75" s="10">
        <f>IF(OR(E75="",E75="Done",G75=""),"",$B$2-G75)</f>
        <v/>
      </c>
      <c r="J75" s="10">
        <f>IF(OR(E75="",E75="Done",H75=""),"",MAX(0,$B$2-H75))</f>
        <v/>
      </c>
      <c r="K75" s="10" t="inlineStr">
        <is>
          <t>Not started</t>
        </is>
      </c>
      <c r="L75" s="10" t="n"/>
      <c r="M75" s="11" t="n"/>
      <c r="N75" s="10" t="n">
        <v>0</v>
      </c>
      <c r="O75" s="11" t="n"/>
      <c r="P75" s="10" t="n">
        <v>3</v>
      </c>
    </row>
    <row r="76">
      <c r="A76" s="10" t="inlineStr">
        <is>
          <t>V-072</t>
        </is>
      </c>
      <c r="B76" s="10" t="n"/>
      <c r="C76" s="10" t="n"/>
      <c r="D76" s="10" t="n"/>
      <c r="E76" s="10" t="n"/>
      <c r="F76" s="10" t="n"/>
      <c r="G76" s="11" t="n"/>
      <c r="H76" s="11">
        <f>IF(OR(G76="",E76="Done"),"",G76+IFERROR(VLOOKUP(E76,Lists!$A$2:$B$6,2,FALSE),0))</f>
        <v/>
      </c>
      <c r="I76" s="10">
        <f>IF(OR(E76="",E76="Done",G76=""),"",$B$2-G76)</f>
        <v/>
      </c>
      <c r="J76" s="10">
        <f>IF(OR(E76="",E76="Done",H76=""),"",MAX(0,$B$2-H76))</f>
        <v/>
      </c>
      <c r="K76" s="10" t="inlineStr">
        <is>
          <t>Not started</t>
        </is>
      </c>
      <c r="L76" s="10" t="n"/>
      <c r="M76" s="11" t="n"/>
      <c r="N76" s="10" t="n">
        <v>0</v>
      </c>
      <c r="O76" s="11" t="n"/>
      <c r="P76" s="10" t="n">
        <v>3</v>
      </c>
    </row>
    <row r="77">
      <c r="A77" s="10" t="inlineStr">
        <is>
          <t>V-073</t>
        </is>
      </c>
      <c r="B77" s="10" t="n"/>
      <c r="C77" s="10" t="n"/>
      <c r="D77" s="10" t="n"/>
      <c r="E77" s="10" t="n"/>
      <c r="F77" s="10" t="n"/>
      <c r="G77" s="11" t="n"/>
      <c r="H77" s="11">
        <f>IF(OR(G77="",E77="Done"),"",G77+IFERROR(VLOOKUP(E77,Lists!$A$2:$B$6,2,FALSE),0))</f>
        <v/>
      </c>
      <c r="I77" s="10">
        <f>IF(OR(E77="",E77="Done",G77=""),"",$B$2-G77)</f>
        <v/>
      </c>
      <c r="J77" s="10">
        <f>IF(OR(E77="",E77="Done",H77=""),"",MAX(0,$B$2-H77))</f>
        <v/>
      </c>
      <c r="K77" s="10" t="inlineStr">
        <is>
          <t>Not started</t>
        </is>
      </c>
      <c r="L77" s="10" t="n"/>
      <c r="M77" s="11" t="n"/>
      <c r="N77" s="10" t="n">
        <v>0</v>
      </c>
      <c r="O77" s="11" t="n"/>
      <c r="P77" s="10" t="n">
        <v>3</v>
      </c>
    </row>
    <row r="78">
      <c r="A78" s="10" t="inlineStr">
        <is>
          <t>V-074</t>
        </is>
      </c>
      <c r="B78" s="10" t="n"/>
      <c r="C78" s="10" t="n"/>
      <c r="D78" s="10" t="n"/>
      <c r="E78" s="10" t="n"/>
      <c r="F78" s="10" t="n"/>
      <c r="G78" s="11" t="n"/>
      <c r="H78" s="11">
        <f>IF(OR(G78="",E78="Done"),"",G78+IFERROR(VLOOKUP(E78,Lists!$A$2:$B$6,2,FALSE),0))</f>
        <v/>
      </c>
      <c r="I78" s="10">
        <f>IF(OR(E78="",E78="Done",G78=""),"",$B$2-G78)</f>
        <v/>
      </c>
      <c r="J78" s="10">
        <f>IF(OR(E78="",E78="Done",H78=""),"",MAX(0,$B$2-H78))</f>
        <v/>
      </c>
      <c r="K78" s="10" t="inlineStr">
        <is>
          <t>Not started</t>
        </is>
      </c>
      <c r="L78" s="10" t="n"/>
      <c r="M78" s="11" t="n"/>
      <c r="N78" s="10" t="n">
        <v>0</v>
      </c>
      <c r="O78" s="11" t="n"/>
      <c r="P78" s="10" t="n">
        <v>3</v>
      </c>
    </row>
    <row r="79">
      <c r="A79" s="10" t="inlineStr">
        <is>
          <t>V-075</t>
        </is>
      </c>
      <c r="B79" s="10" t="n"/>
      <c r="C79" s="10" t="n"/>
      <c r="D79" s="10" t="n"/>
      <c r="E79" s="10" t="n"/>
      <c r="F79" s="10" t="n"/>
      <c r="G79" s="11" t="n"/>
      <c r="H79" s="11">
        <f>IF(OR(G79="",E79="Done"),"",G79+IFERROR(VLOOKUP(E79,Lists!$A$2:$B$6,2,FALSE),0))</f>
        <v/>
      </c>
      <c r="I79" s="10">
        <f>IF(OR(E79="",E79="Done",G79=""),"",$B$2-G79)</f>
        <v/>
      </c>
      <c r="J79" s="10">
        <f>IF(OR(E79="",E79="Done",H79=""),"",MAX(0,$B$2-H79))</f>
        <v/>
      </c>
      <c r="K79" s="10" t="inlineStr">
        <is>
          <t>Not started</t>
        </is>
      </c>
      <c r="L79" s="10" t="n"/>
      <c r="M79" s="11" t="n"/>
      <c r="N79" s="10" t="n">
        <v>0</v>
      </c>
      <c r="O79" s="11" t="n"/>
      <c r="P79" s="10" t="n">
        <v>3</v>
      </c>
    </row>
    <row r="80">
      <c r="A80" s="10" t="inlineStr">
        <is>
          <t>V-076</t>
        </is>
      </c>
      <c r="B80" s="10" t="n"/>
      <c r="C80" s="10" t="n"/>
      <c r="D80" s="10" t="n"/>
      <c r="E80" s="10" t="n"/>
      <c r="F80" s="10" t="n"/>
      <c r="G80" s="11" t="n"/>
      <c r="H80" s="11">
        <f>IF(OR(G80="",E80="Done"),"",G80+IFERROR(VLOOKUP(E80,Lists!$A$2:$B$6,2,FALSE),0))</f>
        <v/>
      </c>
      <c r="I80" s="10">
        <f>IF(OR(E80="",E80="Done",G80=""),"",$B$2-G80)</f>
        <v/>
      </c>
      <c r="J80" s="10">
        <f>IF(OR(E80="",E80="Done",H80=""),"",MAX(0,$B$2-H80))</f>
        <v/>
      </c>
      <c r="K80" s="10" t="inlineStr">
        <is>
          <t>Not started</t>
        </is>
      </c>
      <c r="L80" s="10" t="n"/>
      <c r="M80" s="11" t="n"/>
      <c r="N80" s="10" t="n">
        <v>0</v>
      </c>
      <c r="O80" s="11" t="n"/>
      <c r="P80" s="10" t="n">
        <v>3</v>
      </c>
    </row>
    <row r="81">
      <c r="A81" s="10" t="inlineStr">
        <is>
          <t>V-077</t>
        </is>
      </c>
      <c r="B81" s="10" t="n"/>
      <c r="C81" s="10" t="n"/>
      <c r="D81" s="10" t="n"/>
      <c r="E81" s="10" t="n"/>
      <c r="F81" s="10" t="n"/>
      <c r="G81" s="11" t="n"/>
      <c r="H81" s="11">
        <f>IF(OR(G81="",E81="Done"),"",G81+IFERROR(VLOOKUP(E81,Lists!$A$2:$B$6,2,FALSE),0))</f>
        <v/>
      </c>
      <c r="I81" s="10">
        <f>IF(OR(E81="",E81="Done",G81=""),"",$B$2-G81)</f>
        <v/>
      </c>
      <c r="J81" s="10">
        <f>IF(OR(E81="",E81="Done",H81=""),"",MAX(0,$B$2-H81))</f>
        <v/>
      </c>
      <c r="K81" s="10" t="inlineStr">
        <is>
          <t>Not started</t>
        </is>
      </c>
      <c r="L81" s="10" t="n"/>
      <c r="M81" s="11" t="n"/>
      <c r="N81" s="10" t="n">
        <v>0</v>
      </c>
      <c r="O81" s="11" t="n"/>
      <c r="P81" s="10" t="n">
        <v>3</v>
      </c>
    </row>
    <row r="82">
      <c r="A82" s="10" t="inlineStr">
        <is>
          <t>V-078</t>
        </is>
      </c>
      <c r="B82" s="10" t="n"/>
      <c r="C82" s="10" t="n"/>
      <c r="D82" s="10" t="n"/>
      <c r="E82" s="10" t="n"/>
      <c r="F82" s="10" t="n"/>
      <c r="G82" s="11" t="n"/>
      <c r="H82" s="11">
        <f>IF(OR(G82="",E82="Done"),"",G82+IFERROR(VLOOKUP(E82,Lists!$A$2:$B$6,2,FALSE),0))</f>
        <v/>
      </c>
      <c r="I82" s="10">
        <f>IF(OR(E82="",E82="Done",G82=""),"",$B$2-G82)</f>
        <v/>
      </c>
      <c r="J82" s="10">
        <f>IF(OR(E82="",E82="Done",H82=""),"",MAX(0,$B$2-H82))</f>
        <v/>
      </c>
      <c r="K82" s="10" t="inlineStr">
        <is>
          <t>Not started</t>
        </is>
      </c>
      <c r="L82" s="10" t="n"/>
      <c r="M82" s="11" t="n"/>
      <c r="N82" s="10" t="n">
        <v>0</v>
      </c>
      <c r="O82" s="11" t="n"/>
      <c r="P82" s="10" t="n">
        <v>3</v>
      </c>
    </row>
    <row r="83">
      <c r="A83" s="10" t="inlineStr">
        <is>
          <t>V-079</t>
        </is>
      </c>
      <c r="B83" s="10" t="n"/>
      <c r="C83" s="10" t="n"/>
      <c r="D83" s="10" t="n"/>
      <c r="E83" s="10" t="n"/>
      <c r="F83" s="10" t="n"/>
      <c r="G83" s="11" t="n"/>
      <c r="H83" s="11">
        <f>IF(OR(G83="",E83="Done"),"",G83+IFERROR(VLOOKUP(E83,Lists!$A$2:$B$6,2,FALSE),0))</f>
        <v/>
      </c>
      <c r="I83" s="10">
        <f>IF(OR(E83="",E83="Done",G83=""),"",$B$2-G83)</f>
        <v/>
      </c>
      <c r="J83" s="10">
        <f>IF(OR(E83="",E83="Done",H83=""),"",MAX(0,$B$2-H83))</f>
        <v/>
      </c>
      <c r="K83" s="10" t="inlineStr">
        <is>
          <t>Not started</t>
        </is>
      </c>
      <c r="L83" s="10" t="n"/>
      <c r="M83" s="11" t="n"/>
      <c r="N83" s="10" t="n">
        <v>0</v>
      </c>
      <c r="O83" s="11" t="n"/>
      <c r="P83" s="10" t="n">
        <v>3</v>
      </c>
    </row>
    <row r="84">
      <c r="A84" s="10" t="inlineStr">
        <is>
          <t>V-080</t>
        </is>
      </c>
      <c r="B84" s="10" t="n"/>
      <c r="C84" s="10" t="n"/>
      <c r="D84" s="10" t="n"/>
      <c r="E84" s="10" t="n"/>
      <c r="F84" s="10" t="n"/>
      <c r="G84" s="11" t="n"/>
      <c r="H84" s="11">
        <f>IF(OR(G84="",E84="Done"),"",G84+IFERROR(VLOOKUP(E84,Lists!$A$2:$B$6,2,FALSE),0))</f>
        <v/>
      </c>
      <c r="I84" s="10">
        <f>IF(OR(E84="",E84="Done",G84=""),"",$B$2-G84)</f>
        <v/>
      </c>
      <c r="J84" s="10">
        <f>IF(OR(E84="",E84="Done",H84=""),"",MAX(0,$B$2-H84))</f>
        <v/>
      </c>
      <c r="K84" s="10" t="inlineStr">
        <is>
          <t>Not started</t>
        </is>
      </c>
      <c r="L84" s="10" t="n"/>
      <c r="M84" s="11" t="n"/>
      <c r="N84" s="10" t="n">
        <v>0</v>
      </c>
      <c r="O84" s="11" t="n"/>
      <c r="P84" s="10" t="n">
        <v>3</v>
      </c>
    </row>
    <row r="85">
      <c r="A85" s="10" t="inlineStr">
        <is>
          <t>V-081</t>
        </is>
      </c>
      <c r="B85" s="10" t="n"/>
      <c r="C85" s="10" t="n"/>
      <c r="D85" s="10" t="n"/>
      <c r="E85" s="10" t="n"/>
      <c r="F85" s="10" t="n"/>
      <c r="G85" s="11" t="n"/>
      <c r="H85" s="11">
        <f>IF(OR(G85="",E85="Done"),"",G85+IFERROR(VLOOKUP(E85,Lists!$A$2:$B$6,2,FALSE),0))</f>
        <v/>
      </c>
      <c r="I85" s="10">
        <f>IF(OR(E85="",E85="Done",G85=""),"",$B$2-G85)</f>
        <v/>
      </c>
      <c r="J85" s="10">
        <f>IF(OR(E85="",E85="Done",H85=""),"",MAX(0,$B$2-H85))</f>
        <v/>
      </c>
      <c r="K85" s="10" t="inlineStr">
        <is>
          <t>Not started</t>
        </is>
      </c>
      <c r="L85" s="10" t="n"/>
      <c r="M85" s="11" t="n"/>
      <c r="N85" s="10" t="n">
        <v>0</v>
      </c>
      <c r="O85" s="11" t="n"/>
      <c r="P85" s="10" t="n">
        <v>3</v>
      </c>
    </row>
    <row r="86">
      <c r="A86" s="10" t="inlineStr">
        <is>
          <t>V-082</t>
        </is>
      </c>
      <c r="B86" s="10" t="n"/>
      <c r="C86" s="10" t="n"/>
      <c r="D86" s="10" t="n"/>
      <c r="E86" s="10" t="n"/>
      <c r="F86" s="10" t="n"/>
      <c r="G86" s="11" t="n"/>
      <c r="H86" s="11">
        <f>IF(OR(G86="",E86="Done"),"",G86+IFERROR(VLOOKUP(E86,Lists!$A$2:$B$6,2,FALSE),0))</f>
        <v/>
      </c>
      <c r="I86" s="10">
        <f>IF(OR(E86="",E86="Done",G86=""),"",$B$2-G86)</f>
        <v/>
      </c>
      <c r="J86" s="10">
        <f>IF(OR(E86="",E86="Done",H86=""),"",MAX(0,$B$2-H86))</f>
        <v/>
      </c>
      <c r="K86" s="10" t="inlineStr">
        <is>
          <t>Not started</t>
        </is>
      </c>
      <c r="L86" s="10" t="n"/>
      <c r="M86" s="11" t="n"/>
      <c r="N86" s="10" t="n">
        <v>0</v>
      </c>
      <c r="O86" s="11" t="n"/>
      <c r="P86" s="10" t="n">
        <v>3</v>
      </c>
    </row>
    <row r="87">
      <c r="A87" s="10" t="inlineStr">
        <is>
          <t>V-083</t>
        </is>
      </c>
      <c r="B87" s="10" t="n"/>
      <c r="C87" s="10" t="n"/>
      <c r="D87" s="10" t="n"/>
      <c r="E87" s="10" t="n"/>
      <c r="F87" s="10" t="n"/>
      <c r="G87" s="11" t="n"/>
      <c r="H87" s="11">
        <f>IF(OR(G87="",E87="Done"),"",G87+IFERROR(VLOOKUP(E87,Lists!$A$2:$B$6,2,FALSE),0))</f>
        <v/>
      </c>
      <c r="I87" s="10">
        <f>IF(OR(E87="",E87="Done",G87=""),"",$B$2-G87)</f>
        <v/>
      </c>
      <c r="J87" s="10">
        <f>IF(OR(E87="",E87="Done",H87=""),"",MAX(0,$B$2-H87))</f>
        <v/>
      </c>
      <c r="K87" s="10" t="inlineStr">
        <is>
          <t>Not started</t>
        </is>
      </c>
      <c r="L87" s="10" t="n"/>
      <c r="M87" s="11" t="n"/>
      <c r="N87" s="10" t="n">
        <v>0</v>
      </c>
      <c r="O87" s="11" t="n"/>
      <c r="P87" s="10" t="n">
        <v>3</v>
      </c>
    </row>
    <row r="88">
      <c r="A88" s="10" t="inlineStr">
        <is>
          <t>V-084</t>
        </is>
      </c>
      <c r="B88" s="10" t="n"/>
      <c r="C88" s="10" t="n"/>
      <c r="D88" s="10" t="n"/>
      <c r="E88" s="10" t="n"/>
      <c r="F88" s="10" t="n"/>
      <c r="G88" s="11" t="n"/>
      <c r="H88" s="11">
        <f>IF(OR(G88="",E88="Done"),"",G88+IFERROR(VLOOKUP(E88,Lists!$A$2:$B$6,2,FALSE),0))</f>
        <v/>
      </c>
      <c r="I88" s="10">
        <f>IF(OR(E88="",E88="Done",G88=""),"",$B$2-G88)</f>
        <v/>
      </c>
      <c r="J88" s="10">
        <f>IF(OR(E88="",E88="Done",H88=""),"",MAX(0,$B$2-H88))</f>
        <v/>
      </c>
      <c r="K88" s="10" t="inlineStr">
        <is>
          <t>Not started</t>
        </is>
      </c>
      <c r="L88" s="10" t="n"/>
      <c r="M88" s="11" t="n"/>
      <c r="N88" s="10" t="n">
        <v>0</v>
      </c>
      <c r="O88" s="11" t="n"/>
      <c r="P88" s="10" t="n">
        <v>3</v>
      </c>
    </row>
    <row r="89">
      <c r="A89" s="10" t="inlineStr">
        <is>
          <t>V-085</t>
        </is>
      </c>
      <c r="B89" s="10" t="n"/>
      <c r="C89" s="10" t="n"/>
      <c r="D89" s="10" t="n"/>
      <c r="E89" s="10" t="n"/>
      <c r="F89" s="10" t="n"/>
      <c r="G89" s="11" t="n"/>
      <c r="H89" s="11">
        <f>IF(OR(G89="",E89="Done"),"",G89+IFERROR(VLOOKUP(E89,Lists!$A$2:$B$6,2,FALSE),0))</f>
        <v/>
      </c>
      <c r="I89" s="10">
        <f>IF(OR(E89="",E89="Done",G89=""),"",$B$2-G89)</f>
        <v/>
      </c>
      <c r="J89" s="10">
        <f>IF(OR(E89="",E89="Done",H89=""),"",MAX(0,$B$2-H89))</f>
        <v/>
      </c>
      <c r="K89" s="10" t="inlineStr">
        <is>
          <t>Not started</t>
        </is>
      </c>
      <c r="L89" s="10" t="n"/>
      <c r="M89" s="11" t="n"/>
      <c r="N89" s="10" t="n">
        <v>0</v>
      </c>
      <c r="O89" s="11" t="n"/>
      <c r="P89" s="10" t="n">
        <v>3</v>
      </c>
    </row>
    <row r="90">
      <c r="A90" s="10" t="inlineStr">
        <is>
          <t>V-086</t>
        </is>
      </c>
      <c r="B90" s="10" t="n"/>
      <c r="C90" s="10" t="n"/>
      <c r="D90" s="10" t="n"/>
      <c r="E90" s="10" t="n"/>
      <c r="F90" s="10" t="n"/>
      <c r="G90" s="11" t="n"/>
      <c r="H90" s="11">
        <f>IF(OR(G90="",E90="Done"),"",G90+IFERROR(VLOOKUP(E90,Lists!$A$2:$B$6,2,FALSE),0))</f>
        <v/>
      </c>
      <c r="I90" s="10">
        <f>IF(OR(E90="",E90="Done",G90=""),"",$B$2-G90)</f>
        <v/>
      </c>
      <c r="J90" s="10">
        <f>IF(OR(E90="",E90="Done",H90=""),"",MAX(0,$B$2-H90))</f>
        <v/>
      </c>
      <c r="K90" s="10" t="inlineStr">
        <is>
          <t>Not started</t>
        </is>
      </c>
      <c r="L90" s="10" t="n"/>
      <c r="M90" s="11" t="n"/>
      <c r="N90" s="10" t="n">
        <v>0</v>
      </c>
      <c r="O90" s="11" t="n"/>
      <c r="P90" s="10" t="n">
        <v>3</v>
      </c>
    </row>
    <row r="91">
      <c r="A91" s="10" t="inlineStr">
        <is>
          <t>V-087</t>
        </is>
      </c>
      <c r="B91" s="10" t="n"/>
      <c r="C91" s="10" t="n"/>
      <c r="D91" s="10" t="n"/>
      <c r="E91" s="10" t="n"/>
      <c r="F91" s="10" t="n"/>
      <c r="G91" s="11" t="n"/>
      <c r="H91" s="11">
        <f>IF(OR(G91="",E91="Done"),"",G91+IFERROR(VLOOKUP(E91,Lists!$A$2:$B$6,2,FALSE),0))</f>
        <v/>
      </c>
      <c r="I91" s="10">
        <f>IF(OR(E91="",E91="Done",G91=""),"",$B$2-G91)</f>
        <v/>
      </c>
      <c r="J91" s="10">
        <f>IF(OR(E91="",E91="Done",H91=""),"",MAX(0,$B$2-H91))</f>
        <v/>
      </c>
      <c r="K91" s="10" t="inlineStr">
        <is>
          <t>Not started</t>
        </is>
      </c>
      <c r="L91" s="10" t="n"/>
      <c r="M91" s="11" t="n"/>
      <c r="N91" s="10" t="n">
        <v>0</v>
      </c>
      <c r="O91" s="11" t="n"/>
      <c r="P91" s="10" t="n">
        <v>3</v>
      </c>
    </row>
    <row r="92">
      <c r="A92" s="10" t="inlineStr">
        <is>
          <t>V-088</t>
        </is>
      </c>
      <c r="B92" s="10" t="n"/>
      <c r="C92" s="10" t="n"/>
      <c r="D92" s="10" t="n"/>
      <c r="E92" s="10" t="n"/>
      <c r="F92" s="10" t="n"/>
      <c r="G92" s="11" t="n"/>
      <c r="H92" s="11">
        <f>IF(OR(G92="",E92="Done"),"",G92+IFERROR(VLOOKUP(E92,Lists!$A$2:$B$6,2,FALSE),0))</f>
        <v/>
      </c>
      <c r="I92" s="10">
        <f>IF(OR(E92="",E92="Done",G92=""),"",$B$2-G92)</f>
        <v/>
      </c>
      <c r="J92" s="10">
        <f>IF(OR(E92="",E92="Done",H92=""),"",MAX(0,$B$2-H92))</f>
        <v/>
      </c>
      <c r="K92" s="10" t="inlineStr">
        <is>
          <t>Not started</t>
        </is>
      </c>
      <c r="L92" s="10" t="n"/>
      <c r="M92" s="11" t="n"/>
      <c r="N92" s="10" t="n">
        <v>0</v>
      </c>
      <c r="O92" s="11" t="n"/>
      <c r="P92" s="10" t="n">
        <v>3</v>
      </c>
    </row>
    <row r="93">
      <c r="A93" s="10" t="inlineStr">
        <is>
          <t>V-089</t>
        </is>
      </c>
      <c r="B93" s="10" t="n"/>
      <c r="C93" s="10" t="n"/>
      <c r="D93" s="10" t="n"/>
      <c r="E93" s="10" t="n"/>
      <c r="F93" s="10" t="n"/>
      <c r="G93" s="11" t="n"/>
      <c r="H93" s="11">
        <f>IF(OR(G93="",E93="Done"),"",G93+IFERROR(VLOOKUP(E93,Lists!$A$2:$B$6,2,FALSE),0))</f>
        <v/>
      </c>
      <c r="I93" s="10">
        <f>IF(OR(E93="",E93="Done",G93=""),"",$B$2-G93)</f>
        <v/>
      </c>
      <c r="J93" s="10">
        <f>IF(OR(E93="",E93="Done",H93=""),"",MAX(0,$B$2-H93))</f>
        <v/>
      </c>
      <c r="K93" s="10" t="inlineStr">
        <is>
          <t>Not started</t>
        </is>
      </c>
      <c r="L93" s="10" t="n"/>
      <c r="M93" s="11" t="n"/>
      <c r="N93" s="10" t="n">
        <v>0</v>
      </c>
      <c r="O93" s="11" t="n"/>
      <c r="P93" s="10" t="n">
        <v>3</v>
      </c>
    </row>
    <row r="94">
      <c r="A94" s="10" t="inlineStr">
        <is>
          <t>V-090</t>
        </is>
      </c>
      <c r="B94" s="10" t="n"/>
      <c r="C94" s="10" t="n"/>
      <c r="D94" s="10" t="n"/>
      <c r="E94" s="10" t="n"/>
      <c r="F94" s="10" t="n"/>
      <c r="G94" s="11" t="n"/>
      <c r="H94" s="11">
        <f>IF(OR(G94="",E94="Done"),"",G94+IFERROR(VLOOKUP(E94,Lists!$A$2:$B$6,2,FALSE),0))</f>
        <v/>
      </c>
      <c r="I94" s="10">
        <f>IF(OR(E94="",E94="Done",G94=""),"",$B$2-G94)</f>
        <v/>
      </c>
      <c r="J94" s="10">
        <f>IF(OR(E94="",E94="Done",H94=""),"",MAX(0,$B$2-H94))</f>
        <v/>
      </c>
      <c r="K94" s="10" t="inlineStr">
        <is>
          <t>Not started</t>
        </is>
      </c>
      <c r="L94" s="10" t="n"/>
      <c r="M94" s="11" t="n"/>
      <c r="N94" s="10" t="n">
        <v>0</v>
      </c>
      <c r="O94" s="11" t="n"/>
      <c r="P94" s="10" t="n">
        <v>3</v>
      </c>
    </row>
    <row r="95">
      <c r="A95" s="10" t="inlineStr">
        <is>
          <t>V-091</t>
        </is>
      </c>
      <c r="B95" s="10" t="n"/>
      <c r="C95" s="10" t="n"/>
      <c r="D95" s="10" t="n"/>
      <c r="E95" s="10" t="n"/>
      <c r="F95" s="10" t="n"/>
      <c r="G95" s="11" t="n"/>
      <c r="H95" s="11">
        <f>IF(OR(G95="",E95="Done"),"",G95+IFERROR(VLOOKUP(E95,Lists!$A$2:$B$6,2,FALSE),0))</f>
        <v/>
      </c>
      <c r="I95" s="10">
        <f>IF(OR(E95="",E95="Done",G95=""),"",$B$2-G95)</f>
        <v/>
      </c>
      <c r="J95" s="10">
        <f>IF(OR(E95="",E95="Done",H95=""),"",MAX(0,$B$2-H95))</f>
        <v/>
      </c>
      <c r="K95" s="10" t="inlineStr">
        <is>
          <t>Not started</t>
        </is>
      </c>
      <c r="L95" s="10" t="n"/>
      <c r="M95" s="11" t="n"/>
      <c r="N95" s="10" t="n">
        <v>0</v>
      </c>
      <c r="O95" s="11" t="n"/>
      <c r="P95" s="10" t="n">
        <v>4</v>
      </c>
    </row>
    <row r="96">
      <c r="A96" s="10" t="inlineStr">
        <is>
          <t>V-092</t>
        </is>
      </c>
      <c r="B96" s="10" t="n"/>
      <c r="C96" s="10" t="n"/>
      <c r="D96" s="10" t="n"/>
      <c r="E96" s="10" t="n"/>
      <c r="F96" s="10" t="n"/>
      <c r="G96" s="11" t="n"/>
      <c r="H96" s="11">
        <f>IF(OR(G96="",E96="Done"),"",G96+IFERROR(VLOOKUP(E96,Lists!$A$2:$B$6,2,FALSE),0))</f>
        <v/>
      </c>
      <c r="I96" s="10">
        <f>IF(OR(E96="",E96="Done",G96=""),"",$B$2-G96)</f>
        <v/>
      </c>
      <c r="J96" s="10">
        <f>IF(OR(E96="",E96="Done",H96=""),"",MAX(0,$B$2-H96))</f>
        <v/>
      </c>
      <c r="K96" s="10" t="inlineStr">
        <is>
          <t>Not started</t>
        </is>
      </c>
      <c r="L96" s="10" t="n"/>
      <c r="M96" s="11" t="n"/>
      <c r="N96" s="10" t="n">
        <v>0</v>
      </c>
      <c r="O96" s="11" t="n"/>
      <c r="P96" s="10" t="n">
        <v>4</v>
      </c>
    </row>
    <row r="97">
      <c r="A97" s="10" t="inlineStr">
        <is>
          <t>V-093</t>
        </is>
      </c>
      <c r="B97" s="10" t="n"/>
      <c r="C97" s="10" t="n"/>
      <c r="D97" s="10" t="n"/>
      <c r="E97" s="10" t="n"/>
      <c r="F97" s="10" t="n"/>
      <c r="G97" s="11" t="n"/>
      <c r="H97" s="11">
        <f>IF(OR(G97="",E97="Done"),"",G97+IFERROR(VLOOKUP(E97,Lists!$A$2:$B$6,2,FALSE),0))</f>
        <v/>
      </c>
      <c r="I97" s="10">
        <f>IF(OR(E97="",E97="Done",G97=""),"",$B$2-G97)</f>
        <v/>
      </c>
      <c r="J97" s="10">
        <f>IF(OR(E97="",E97="Done",H97=""),"",MAX(0,$B$2-H97))</f>
        <v/>
      </c>
      <c r="K97" s="10" t="inlineStr">
        <is>
          <t>Not started</t>
        </is>
      </c>
      <c r="L97" s="10" t="n"/>
      <c r="M97" s="11" t="n"/>
      <c r="N97" s="10" t="n">
        <v>0</v>
      </c>
      <c r="O97" s="11" t="n"/>
      <c r="P97" s="10" t="n">
        <v>4</v>
      </c>
    </row>
    <row r="98">
      <c r="A98" s="10" t="inlineStr">
        <is>
          <t>V-094</t>
        </is>
      </c>
      <c r="B98" s="10" t="n"/>
      <c r="C98" s="10" t="n"/>
      <c r="D98" s="10" t="n"/>
      <c r="E98" s="10" t="n"/>
      <c r="F98" s="10" t="n"/>
      <c r="G98" s="11" t="n"/>
      <c r="H98" s="11">
        <f>IF(OR(G98="",E98="Done"),"",G98+IFERROR(VLOOKUP(E98,Lists!$A$2:$B$6,2,FALSE),0))</f>
        <v/>
      </c>
      <c r="I98" s="10">
        <f>IF(OR(E98="",E98="Done",G98=""),"",$B$2-G98)</f>
        <v/>
      </c>
      <c r="J98" s="10">
        <f>IF(OR(E98="",E98="Done",H98=""),"",MAX(0,$B$2-H98))</f>
        <v/>
      </c>
      <c r="K98" s="10" t="inlineStr">
        <is>
          <t>Not started</t>
        </is>
      </c>
      <c r="L98" s="10" t="n"/>
      <c r="M98" s="11" t="n"/>
      <c r="N98" s="10" t="n">
        <v>0</v>
      </c>
      <c r="O98" s="11" t="n"/>
      <c r="P98" s="10" t="n">
        <v>4</v>
      </c>
    </row>
    <row r="99">
      <c r="A99" s="10" t="inlineStr">
        <is>
          <t>V-095</t>
        </is>
      </c>
      <c r="B99" s="10" t="n"/>
      <c r="C99" s="10" t="n"/>
      <c r="D99" s="10" t="n"/>
      <c r="E99" s="10" t="n"/>
      <c r="F99" s="10" t="n"/>
      <c r="G99" s="11" t="n"/>
      <c r="H99" s="11">
        <f>IF(OR(G99="",E99="Done"),"",G99+IFERROR(VLOOKUP(E99,Lists!$A$2:$B$6,2,FALSE),0))</f>
        <v/>
      </c>
      <c r="I99" s="10">
        <f>IF(OR(E99="",E99="Done",G99=""),"",$B$2-G99)</f>
        <v/>
      </c>
      <c r="J99" s="10">
        <f>IF(OR(E99="",E99="Done",H99=""),"",MAX(0,$B$2-H99))</f>
        <v/>
      </c>
      <c r="K99" s="10" t="inlineStr">
        <is>
          <t>Not started</t>
        </is>
      </c>
      <c r="L99" s="10" t="n"/>
      <c r="M99" s="11" t="n"/>
      <c r="N99" s="10" t="n">
        <v>0</v>
      </c>
      <c r="O99" s="11" t="n"/>
      <c r="P99" s="10" t="n">
        <v>4</v>
      </c>
    </row>
    <row r="100">
      <c r="A100" s="10" t="inlineStr">
        <is>
          <t>V-096</t>
        </is>
      </c>
      <c r="B100" s="10" t="n"/>
      <c r="C100" s="10" t="n"/>
      <c r="D100" s="10" t="n"/>
      <c r="E100" s="10" t="n"/>
      <c r="F100" s="10" t="n"/>
      <c r="G100" s="11" t="n"/>
      <c r="H100" s="11">
        <f>IF(OR(G100="",E100="Done"),"",G100+IFERROR(VLOOKUP(E100,Lists!$A$2:$B$6,2,FALSE),0))</f>
        <v/>
      </c>
      <c r="I100" s="10">
        <f>IF(OR(E100="",E100="Done",G100=""),"",$B$2-G100)</f>
        <v/>
      </c>
      <c r="J100" s="10">
        <f>IF(OR(E100="",E100="Done",H100=""),"",MAX(0,$B$2-H100))</f>
        <v/>
      </c>
      <c r="K100" s="10" t="inlineStr">
        <is>
          <t>Not started</t>
        </is>
      </c>
      <c r="L100" s="10" t="n"/>
      <c r="M100" s="11" t="n"/>
      <c r="N100" s="10" t="n">
        <v>0</v>
      </c>
      <c r="O100" s="11" t="n"/>
      <c r="P100" s="10" t="n">
        <v>4</v>
      </c>
    </row>
    <row r="101">
      <c r="A101" s="10" t="inlineStr">
        <is>
          <t>V-097</t>
        </is>
      </c>
      <c r="B101" s="10" t="n"/>
      <c r="C101" s="10" t="n"/>
      <c r="D101" s="10" t="n"/>
      <c r="E101" s="10" t="n"/>
      <c r="F101" s="10" t="n"/>
      <c r="G101" s="11" t="n"/>
      <c r="H101" s="11">
        <f>IF(OR(G101="",E101="Done"),"",G101+IFERROR(VLOOKUP(E101,Lists!$A$2:$B$6,2,FALSE),0))</f>
        <v/>
      </c>
      <c r="I101" s="10">
        <f>IF(OR(E101="",E101="Done",G101=""),"",$B$2-G101)</f>
        <v/>
      </c>
      <c r="J101" s="10">
        <f>IF(OR(E101="",E101="Done",H101=""),"",MAX(0,$B$2-H101))</f>
        <v/>
      </c>
      <c r="K101" s="10" t="inlineStr">
        <is>
          <t>Not started</t>
        </is>
      </c>
      <c r="L101" s="10" t="n"/>
      <c r="M101" s="11" t="n"/>
      <c r="N101" s="10" t="n">
        <v>0</v>
      </c>
      <c r="O101" s="11" t="n"/>
      <c r="P101" s="10" t="n">
        <v>4</v>
      </c>
    </row>
    <row r="102">
      <c r="A102" s="10" t="inlineStr">
        <is>
          <t>V-098</t>
        </is>
      </c>
      <c r="B102" s="10" t="n"/>
      <c r="C102" s="10" t="n"/>
      <c r="D102" s="10" t="n"/>
      <c r="E102" s="10" t="n"/>
      <c r="F102" s="10" t="n"/>
      <c r="G102" s="11" t="n"/>
      <c r="H102" s="11">
        <f>IF(OR(G102="",E102="Done"),"",G102+IFERROR(VLOOKUP(E102,Lists!$A$2:$B$6,2,FALSE),0))</f>
        <v/>
      </c>
      <c r="I102" s="10">
        <f>IF(OR(E102="",E102="Done",G102=""),"",$B$2-G102)</f>
        <v/>
      </c>
      <c r="J102" s="10">
        <f>IF(OR(E102="",E102="Done",H102=""),"",MAX(0,$B$2-H102))</f>
        <v/>
      </c>
      <c r="K102" s="10" t="inlineStr">
        <is>
          <t>Not started</t>
        </is>
      </c>
      <c r="L102" s="10" t="n"/>
      <c r="M102" s="11" t="n"/>
      <c r="N102" s="10" t="n">
        <v>0</v>
      </c>
      <c r="O102" s="11" t="n"/>
      <c r="P102" s="10" t="n">
        <v>4</v>
      </c>
    </row>
    <row r="103">
      <c r="A103" s="10" t="inlineStr">
        <is>
          <t>V-099</t>
        </is>
      </c>
      <c r="B103" s="10" t="n"/>
      <c r="C103" s="10" t="n"/>
      <c r="D103" s="10" t="n"/>
      <c r="E103" s="10" t="n"/>
      <c r="F103" s="10" t="n"/>
      <c r="G103" s="11" t="n"/>
      <c r="H103" s="11">
        <f>IF(OR(G103="",E103="Done"),"",G103+IFERROR(VLOOKUP(E103,Lists!$A$2:$B$6,2,FALSE),0))</f>
        <v/>
      </c>
      <c r="I103" s="10">
        <f>IF(OR(E103="",E103="Done",G103=""),"",$B$2-G103)</f>
        <v/>
      </c>
      <c r="J103" s="10">
        <f>IF(OR(E103="",E103="Done",H103=""),"",MAX(0,$B$2-H103))</f>
        <v/>
      </c>
      <c r="K103" s="10" t="inlineStr">
        <is>
          <t>Not started</t>
        </is>
      </c>
      <c r="L103" s="10" t="n"/>
      <c r="M103" s="11" t="n"/>
      <c r="N103" s="10" t="n">
        <v>0</v>
      </c>
      <c r="O103" s="11" t="n"/>
      <c r="P103" s="10" t="n">
        <v>4</v>
      </c>
    </row>
    <row r="104">
      <c r="A104" s="10" t="inlineStr">
        <is>
          <t>V-100</t>
        </is>
      </c>
      <c r="B104" s="10" t="n"/>
      <c r="C104" s="10" t="n"/>
      <c r="D104" s="10" t="n"/>
      <c r="E104" s="10" t="n"/>
      <c r="F104" s="10" t="n"/>
      <c r="G104" s="11" t="n"/>
      <c r="H104" s="11">
        <f>IF(OR(G104="",E104="Done"),"",G104+IFERROR(VLOOKUP(E104,Lists!$A$2:$B$6,2,FALSE),0))</f>
        <v/>
      </c>
      <c r="I104" s="10">
        <f>IF(OR(E104="",E104="Done",G104=""),"",$B$2-G104)</f>
        <v/>
      </c>
      <c r="J104" s="10">
        <f>IF(OR(E104="",E104="Done",H104=""),"",MAX(0,$B$2-H104))</f>
        <v/>
      </c>
      <c r="K104" s="10" t="inlineStr">
        <is>
          <t>Not started</t>
        </is>
      </c>
      <c r="L104" s="10" t="n"/>
      <c r="M104" s="11" t="n"/>
      <c r="N104" s="10" t="n">
        <v>0</v>
      </c>
      <c r="O104" s="11" t="n"/>
      <c r="P104" s="10" t="n">
        <v>4</v>
      </c>
    </row>
    <row r="105">
      <c r="A105" s="10" t="inlineStr">
        <is>
          <t>V-101</t>
        </is>
      </c>
      <c r="B105" s="10" t="n"/>
      <c r="C105" s="10" t="n"/>
      <c r="D105" s="10" t="n"/>
      <c r="E105" s="10" t="n"/>
      <c r="F105" s="10" t="n"/>
      <c r="G105" s="11" t="n"/>
      <c r="H105" s="11">
        <f>IF(OR(G105="",E105="Done"),"",G105+IFERROR(VLOOKUP(E105,Lists!$A$2:$B$6,2,FALSE),0))</f>
        <v/>
      </c>
      <c r="I105" s="10">
        <f>IF(OR(E105="",E105="Done",G105=""),"",$B$2-G105)</f>
        <v/>
      </c>
      <c r="J105" s="10">
        <f>IF(OR(E105="",E105="Done",H105=""),"",MAX(0,$B$2-H105))</f>
        <v/>
      </c>
      <c r="K105" s="10" t="inlineStr">
        <is>
          <t>Not started</t>
        </is>
      </c>
      <c r="L105" s="10" t="n"/>
      <c r="M105" s="11" t="n"/>
      <c r="N105" s="10" t="n">
        <v>0</v>
      </c>
      <c r="O105" s="11" t="n"/>
      <c r="P105" s="10" t="n">
        <v>4</v>
      </c>
    </row>
    <row r="106">
      <c r="A106" s="10" t="inlineStr">
        <is>
          <t>V-102</t>
        </is>
      </c>
      <c r="B106" s="10" t="n"/>
      <c r="C106" s="10" t="n"/>
      <c r="D106" s="10" t="n"/>
      <c r="E106" s="10" t="n"/>
      <c r="F106" s="10" t="n"/>
      <c r="G106" s="11" t="n"/>
      <c r="H106" s="11">
        <f>IF(OR(G106="",E106="Done"),"",G106+IFERROR(VLOOKUP(E106,Lists!$A$2:$B$6,2,FALSE),0))</f>
        <v/>
      </c>
      <c r="I106" s="10">
        <f>IF(OR(E106="",E106="Done",G106=""),"",$B$2-G106)</f>
        <v/>
      </c>
      <c r="J106" s="10">
        <f>IF(OR(E106="",E106="Done",H106=""),"",MAX(0,$B$2-H106))</f>
        <v/>
      </c>
      <c r="K106" s="10" t="inlineStr">
        <is>
          <t>Not started</t>
        </is>
      </c>
      <c r="L106" s="10" t="n"/>
      <c r="M106" s="11" t="n"/>
      <c r="N106" s="10" t="n">
        <v>0</v>
      </c>
      <c r="O106" s="11" t="n"/>
      <c r="P106" s="10" t="n">
        <v>4</v>
      </c>
    </row>
    <row r="107">
      <c r="A107" s="10" t="inlineStr">
        <is>
          <t>V-103</t>
        </is>
      </c>
      <c r="B107" s="10" t="n"/>
      <c r="C107" s="10" t="n"/>
      <c r="D107" s="10" t="n"/>
      <c r="E107" s="10" t="n"/>
      <c r="F107" s="10" t="n"/>
      <c r="G107" s="11" t="n"/>
      <c r="H107" s="11">
        <f>IF(OR(G107="",E107="Done"),"",G107+IFERROR(VLOOKUP(E107,Lists!$A$2:$B$6,2,FALSE),0))</f>
        <v/>
      </c>
      <c r="I107" s="10">
        <f>IF(OR(E107="",E107="Done",G107=""),"",$B$2-G107)</f>
        <v/>
      </c>
      <c r="J107" s="10">
        <f>IF(OR(E107="",E107="Done",H107=""),"",MAX(0,$B$2-H107))</f>
        <v/>
      </c>
      <c r="K107" s="10" t="inlineStr">
        <is>
          <t>Not started</t>
        </is>
      </c>
      <c r="L107" s="10" t="n"/>
      <c r="M107" s="11" t="n"/>
      <c r="N107" s="10" t="n">
        <v>0</v>
      </c>
      <c r="O107" s="11" t="n"/>
      <c r="P107" s="10" t="n">
        <v>4</v>
      </c>
    </row>
    <row r="108">
      <c r="A108" s="10" t="inlineStr">
        <is>
          <t>V-104</t>
        </is>
      </c>
      <c r="B108" s="10" t="n"/>
      <c r="C108" s="10" t="n"/>
      <c r="D108" s="10" t="n"/>
      <c r="E108" s="10" t="n"/>
      <c r="F108" s="10" t="n"/>
      <c r="G108" s="11" t="n"/>
      <c r="H108" s="11">
        <f>IF(OR(G108="",E108="Done"),"",G108+IFERROR(VLOOKUP(E108,Lists!$A$2:$B$6,2,FALSE),0))</f>
        <v/>
      </c>
      <c r="I108" s="10">
        <f>IF(OR(E108="",E108="Done",G108=""),"",$B$2-G108)</f>
        <v/>
      </c>
      <c r="J108" s="10">
        <f>IF(OR(E108="",E108="Done",H108=""),"",MAX(0,$B$2-H108))</f>
        <v/>
      </c>
      <c r="K108" s="10" t="inlineStr">
        <is>
          <t>Not started</t>
        </is>
      </c>
      <c r="L108" s="10" t="n"/>
      <c r="M108" s="11" t="n"/>
      <c r="N108" s="10" t="n">
        <v>0</v>
      </c>
      <c r="O108" s="11" t="n"/>
      <c r="P108" s="10" t="n">
        <v>4</v>
      </c>
    </row>
    <row r="109">
      <c r="A109" s="10" t="inlineStr">
        <is>
          <t>V-105</t>
        </is>
      </c>
      <c r="B109" s="10" t="n"/>
      <c r="C109" s="10" t="n"/>
      <c r="D109" s="10" t="n"/>
      <c r="E109" s="10" t="n"/>
      <c r="F109" s="10" t="n"/>
      <c r="G109" s="11" t="n"/>
      <c r="H109" s="11">
        <f>IF(OR(G109="",E109="Done"),"",G109+IFERROR(VLOOKUP(E109,Lists!$A$2:$B$6,2,FALSE),0))</f>
        <v/>
      </c>
      <c r="I109" s="10">
        <f>IF(OR(E109="",E109="Done",G109=""),"",$B$2-G109)</f>
        <v/>
      </c>
      <c r="J109" s="10">
        <f>IF(OR(E109="",E109="Done",H109=""),"",MAX(0,$B$2-H109))</f>
        <v/>
      </c>
      <c r="K109" s="10" t="inlineStr">
        <is>
          <t>Not started</t>
        </is>
      </c>
      <c r="L109" s="10" t="n"/>
      <c r="M109" s="11" t="n"/>
      <c r="N109" s="10" t="n">
        <v>0</v>
      </c>
      <c r="O109" s="11" t="n"/>
      <c r="P109" s="10" t="n">
        <v>4</v>
      </c>
    </row>
    <row r="110">
      <c r="A110" s="10" t="inlineStr">
        <is>
          <t>V-106</t>
        </is>
      </c>
      <c r="B110" s="10" t="n"/>
      <c r="C110" s="10" t="n"/>
      <c r="D110" s="10" t="n"/>
      <c r="E110" s="10" t="n"/>
      <c r="F110" s="10" t="n"/>
      <c r="G110" s="11" t="n"/>
      <c r="H110" s="11">
        <f>IF(OR(G110="",E110="Done"),"",G110+IFERROR(VLOOKUP(E110,Lists!$A$2:$B$6,2,FALSE),0))</f>
        <v/>
      </c>
      <c r="I110" s="10">
        <f>IF(OR(E110="",E110="Done",G110=""),"",$B$2-G110)</f>
        <v/>
      </c>
      <c r="J110" s="10">
        <f>IF(OR(E110="",E110="Done",H110=""),"",MAX(0,$B$2-H110))</f>
        <v/>
      </c>
      <c r="K110" s="10" t="inlineStr">
        <is>
          <t>Not started</t>
        </is>
      </c>
      <c r="L110" s="10" t="n"/>
      <c r="M110" s="11" t="n"/>
      <c r="N110" s="10" t="n">
        <v>0</v>
      </c>
      <c r="O110" s="11" t="n"/>
      <c r="P110" s="10" t="n">
        <v>4</v>
      </c>
    </row>
    <row r="111">
      <c r="A111" s="10" t="inlineStr">
        <is>
          <t>V-107</t>
        </is>
      </c>
      <c r="B111" s="10" t="n"/>
      <c r="C111" s="10" t="n"/>
      <c r="D111" s="10" t="n"/>
      <c r="E111" s="10" t="n"/>
      <c r="F111" s="10" t="n"/>
      <c r="G111" s="11" t="n"/>
      <c r="H111" s="11">
        <f>IF(OR(G111="",E111="Done"),"",G111+IFERROR(VLOOKUP(E111,Lists!$A$2:$B$6,2,FALSE),0))</f>
        <v/>
      </c>
      <c r="I111" s="10">
        <f>IF(OR(E111="",E111="Done",G111=""),"",$B$2-G111)</f>
        <v/>
      </c>
      <c r="J111" s="10">
        <f>IF(OR(E111="",E111="Done",H111=""),"",MAX(0,$B$2-H111))</f>
        <v/>
      </c>
      <c r="K111" s="10" t="inlineStr">
        <is>
          <t>Not started</t>
        </is>
      </c>
      <c r="L111" s="10" t="n"/>
      <c r="M111" s="11" t="n"/>
      <c r="N111" s="10" t="n">
        <v>0</v>
      </c>
      <c r="O111" s="11" t="n"/>
      <c r="P111" s="10" t="n">
        <v>4</v>
      </c>
    </row>
    <row r="112">
      <c r="A112" s="10" t="inlineStr">
        <is>
          <t>V-108</t>
        </is>
      </c>
      <c r="B112" s="10" t="n"/>
      <c r="C112" s="10" t="n"/>
      <c r="D112" s="10" t="n"/>
      <c r="E112" s="10" t="n"/>
      <c r="F112" s="10" t="n"/>
      <c r="G112" s="11" t="n"/>
      <c r="H112" s="11">
        <f>IF(OR(G112="",E112="Done"),"",G112+IFERROR(VLOOKUP(E112,Lists!$A$2:$B$6,2,FALSE),0))</f>
        <v/>
      </c>
      <c r="I112" s="10">
        <f>IF(OR(E112="",E112="Done",G112=""),"",$B$2-G112)</f>
        <v/>
      </c>
      <c r="J112" s="10">
        <f>IF(OR(E112="",E112="Done",H112=""),"",MAX(0,$B$2-H112))</f>
        <v/>
      </c>
      <c r="K112" s="10" t="inlineStr">
        <is>
          <t>Not started</t>
        </is>
      </c>
      <c r="L112" s="10" t="n"/>
      <c r="M112" s="11" t="n"/>
      <c r="N112" s="10" t="n">
        <v>0</v>
      </c>
      <c r="O112" s="11" t="n"/>
      <c r="P112" s="10" t="n">
        <v>4</v>
      </c>
    </row>
    <row r="113">
      <c r="A113" s="10" t="inlineStr">
        <is>
          <t>V-109</t>
        </is>
      </c>
      <c r="B113" s="10" t="n"/>
      <c r="C113" s="10" t="n"/>
      <c r="D113" s="10" t="n"/>
      <c r="E113" s="10" t="n"/>
      <c r="F113" s="10" t="n"/>
      <c r="G113" s="11" t="n"/>
      <c r="H113" s="11">
        <f>IF(OR(G113="",E113="Done"),"",G113+IFERROR(VLOOKUP(E113,Lists!$A$2:$B$6,2,FALSE),0))</f>
        <v/>
      </c>
      <c r="I113" s="10">
        <f>IF(OR(E113="",E113="Done",G113=""),"",$B$2-G113)</f>
        <v/>
      </c>
      <c r="J113" s="10">
        <f>IF(OR(E113="",E113="Done",H113=""),"",MAX(0,$B$2-H113))</f>
        <v/>
      </c>
      <c r="K113" s="10" t="inlineStr">
        <is>
          <t>Not started</t>
        </is>
      </c>
      <c r="L113" s="10" t="n"/>
      <c r="M113" s="11" t="n"/>
      <c r="N113" s="10" t="n">
        <v>0</v>
      </c>
      <c r="O113" s="11" t="n"/>
      <c r="P113" s="10" t="n">
        <v>4</v>
      </c>
    </row>
    <row r="114">
      <c r="A114" s="10" t="inlineStr">
        <is>
          <t>V-110</t>
        </is>
      </c>
      <c r="B114" s="10" t="n"/>
      <c r="C114" s="10" t="n"/>
      <c r="D114" s="10" t="n"/>
      <c r="E114" s="10" t="n"/>
      <c r="F114" s="10" t="n"/>
      <c r="G114" s="11" t="n"/>
      <c r="H114" s="11">
        <f>IF(OR(G114="",E114="Done"),"",G114+IFERROR(VLOOKUP(E114,Lists!$A$2:$B$6,2,FALSE),0))</f>
        <v/>
      </c>
      <c r="I114" s="10">
        <f>IF(OR(E114="",E114="Done",G114=""),"",$B$2-G114)</f>
        <v/>
      </c>
      <c r="J114" s="10">
        <f>IF(OR(E114="",E114="Done",H114=""),"",MAX(0,$B$2-H114))</f>
        <v/>
      </c>
      <c r="K114" s="10" t="inlineStr">
        <is>
          <t>Not started</t>
        </is>
      </c>
      <c r="L114" s="10" t="n"/>
      <c r="M114" s="11" t="n"/>
      <c r="N114" s="10" t="n">
        <v>0</v>
      </c>
      <c r="O114" s="11" t="n"/>
      <c r="P114" s="10" t="n">
        <v>4</v>
      </c>
    </row>
    <row r="115">
      <c r="A115" s="10" t="inlineStr">
        <is>
          <t>V-111</t>
        </is>
      </c>
      <c r="B115" s="10" t="n"/>
      <c r="C115" s="10" t="n"/>
      <c r="D115" s="10" t="n"/>
      <c r="E115" s="10" t="n"/>
      <c r="F115" s="10" t="n"/>
      <c r="G115" s="11" t="n"/>
      <c r="H115" s="11">
        <f>IF(OR(G115="",E115="Done"),"",G115+IFERROR(VLOOKUP(E115,Lists!$A$2:$B$6,2,FALSE),0))</f>
        <v/>
      </c>
      <c r="I115" s="10">
        <f>IF(OR(E115="",E115="Done",G115=""),"",$B$2-G115)</f>
        <v/>
      </c>
      <c r="J115" s="10">
        <f>IF(OR(E115="",E115="Done",H115=""),"",MAX(0,$B$2-H115))</f>
        <v/>
      </c>
      <c r="K115" s="10" t="inlineStr">
        <is>
          <t>Not started</t>
        </is>
      </c>
      <c r="L115" s="10" t="n"/>
      <c r="M115" s="11" t="n"/>
      <c r="N115" s="10" t="n">
        <v>0</v>
      </c>
      <c r="O115" s="11" t="n"/>
      <c r="P115" s="10" t="n">
        <v>4</v>
      </c>
    </row>
    <row r="116">
      <c r="A116" s="10" t="inlineStr">
        <is>
          <t>V-112</t>
        </is>
      </c>
      <c r="B116" s="10" t="n"/>
      <c r="C116" s="10" t="n"/>
      <c r="D116" s="10" t="n"/>
      <c r="E116" s="10" t="n"/>
      <c r="F116" s="10" t="n"/>
      <c r="G116" s="11" t="n"/>
      <c r="H116" s="11">
        <f>IF(OR(G116="",E116="Done"),"",G116+IFERROR(VLOOKUP(E116,Lists!$A$2:$B$6,2,FALSE),0))</f>
        <v/>
      </c>
      <c r="I116" s="10">
        <f>IF(OR(E116="",E116="Done",G116=""),"",$B$2-G116)</f>
        <v/>
      </c>
      <c r="J116" s="10">
        <f>IF(OR(E116="",E116="Done",H116=""),"",MAX(0,$B$2-H116))</f>
        <v/>
      </c>
      <c r="K116" s="10" t="inlineStr">
        <is>
          <t>Not started</t>
        </is>
      </c>
      <c r="L116" s="10" t="n"/>
      <c r="M116" s="11" t="n"/>
      <c r="N116" s="10" t="n">
        <v>0</v>
      </c>
      <c r="O116" s="11" t="n"/>
      <c r="P116" s="10" t="n">
        <v>4</v>
      </c>
    </row>
    <row r="117">
      <c r="A117" s="10" t="inlineStr">
        <is>
          <t>V-113</t>
        </is>
      </c>
      <c r="B117" s="10" t="n"/>
      <c r="C117" s="10" t="n"/>
      <c r="D117" s="10" t="n"/>
      <c r="E117" s="10" t="n"/>
      <c r="F117" s="10" t="n"/>
      <c r="G117" s="11" t="n"/>
      <c r="H117" s="11">
        <f>IF(OR(G117="",E117="Done"),"",G117+IFERROR(VLOOKUP(E117,Lists!$A$2:$B$6,2,FALSE),0))</f>
        <v/>
      </c>
      <c r="I117" s="10">
        <f>IF(OR(E117="",E117="Done",G117=""),"",$B$2-G117)</f>
        <v/>
      </c>
      <c r="J117" s="10">
        <f>IF(OR(E117="",E117="Done",H117=""),"",MAX(0,$B$2-H117))</f>
        <v/>
      </c>
      <c r="K117" s="10" t="inlineStr">
        <is>
          <t>Not started</t>
        </is>
      </c>
      <c r="L117" s="10" t="n"/>
      <c r="M117" s="11" t="n"/>
      <c r="N117" s="10" t="n">
        <v>0</v>
      </c>
      <c r="O117" s="11" t="n"/>
      <c r="P117" s="10" t="n">
        <v>4</v>
      </c>
    </row>
    <row r="118">
      <c r="A118" s="10" t="inlineStr">
        <is>
          <t>V-114</t>
        </is>
      </c>
      <c r="B118" s="10" t="n"/>
      <c r="C118" s="10" t="n"/>
      <c r="D118" s="10" t="n"/>
      <c r="E118" s="10" t="n"/>
      <c r="F118" s="10" t="n"/>
      <c r="G118" s="11" t="n"/>
      <c r="H118" s="11">
        <f>IF(OR(G118="",E118="Done"),"",G118+IFERROR(VLOOKUP(E118,Lists!$A$2:$B$6,2,FALSE),0))</f>
        <v/>
      </c>
      <c r="I118" s="10">
        <f>IF(OR(E118="",E118="Done",G118=""),"",$B$2-G118)</f>
        <v/>
      </c>
      <c r="J118" s="10">
        <f>IF(OR(E118="",E118="Done",H118=""),"",MAX(0,$B$2-H118))</f>
        <v/>
      </c>
      <c r="K118" s="10" t="inlineStr">
        <is>
          <t>Not started</t>
        </is>
      </c>
      <c r="L118" s="10" t="n"/>
      <c r="M118" s="11" t="n"/>
      <c r="N118" s="10" t="n">
        <v>0</v>
      </c>
      <c r="O118" s="11" t="n"/>
      <c r="P118" s="10" t="n">
        <v>4</v>
      </c>
    </row>
    <row r="119">
      <c r="A119" s="10" t="inlineStr">
        <is>
          <t>V-115</t>
        </is>
      </c>
      <c r="B119" s="10" t="n"/>
      <c r="C119" s="10" t="n"/>
      <c r="D119" s="10" t="n"/>
      <c r="E119" s="10" t="n"/>
      <c r="F119" s="10" t="n"/>
      <c r="G119" s="11" t="n"/>
      <c r="H119" s="11">
        <f>IF(OR(G119="",E119="Done"),"",G119+IFERROR(VLOOKUP(E119,Lists!$A$2:$B$6,2,FALSE),0))</f>
        <v/>
      </c>
      <c r="I119" s="10">
        <f>IF(OR(E119="",E119="Done",G119=""),"",$B$2-G119)</f>
        <v/>
      </c>
      <c r="J119" s="10">
        <f>IF(OR(E119="",E119="Done",H119=""),"",MAX(0,$B$2-H119))</f>
        <v/>
      </c>
      <c r="K119" s="10" t="inlineStr">
        <is>
          <t>Not started</t>
        </is>
      </c>
      <c r="L119" s="10" t="n"/>
      <c r="M119" s="11" t="n"/>
      <c r="N119" s="10" t="n">
        <v>0</v>
      </c>
      <c r="O119" s="11" t="n"/>
      <c r="P119" s="10" t="n">
        <v>4</v>
      </c>
    </row>
    <row r="120">
      <c r="A120" s="10" t="inlineStr">
        <is>
          <t>V-116</t>
        </is>
      </c>
      <c r="B120" s="10" t="n"/>
      <c r="C120" s="10" t="n"/>
      <c r="D120" s="10" t="n"/>
      <c r="E120" s="10" t="n"/>
      <c r="F120" s="10" t="n"/>
      <c r="G120" s="11" t="n"/>
      <c r="H120" s="11">
        <f>IF(OR(G120="",E120="Done"),"",G120+IFERROR(VLOOKUP(E120,Lists!$A$2:$B$6,2,FALSE),0))</f>
        <v/>
      </c>
      <c r="I120" s="10">
        <f>IF(OR(E120="",E120="Done",G120=""),"",$B$2-G120)</f>
        <v/>
      </c>
      <c r="J120" s="10">
        <f>IF(OR(E120="",E120="Done",H120=""),"",MAX(0,$B$2-H120))</f>
        <v/>
      </c>
      <c r="K120" s="10" t="inlineStr">
        <is>
          <t>Not started</t>
        </is>
      </c>
      <c r="L120" s="10" t="n"/>
      <c r="M120" s="11" t="n"/>
      <c r="N120" s="10" t="n">
        <v>0</v>
      </c>
      <c r="O120" s="11" t="n"/>
      <c r="P120" s="10" t="n">
        <v>4</v>
      </c>
    </row>
    <row r="121">
      <c r="A121" s="10" t="inlineStr">
        <is>
          <t>V-117</t>
        </is>
      </c>
      <c r="B121" s="10" t="n"/>
      <c r="C121" s="10" t="n"/>
      <c r="D121" s="10" t="n"/>
      <c r="E121" s="10" t="n"/>
      <c r="F121" s="10" t="n"/>
      <c r="G121" s="11" t="n"/>
      <c r="H121" s="11">
        <f>IF(OR(G121="",E121="Done"),"",G121+IFERROR(VLOOKUP(E121,Lists!$A$2:$B$6,2,FALSE),0))</f>
        <v/>
      </c>
      <c r="I121" s="10">
        <f>IF(OR(E121="",E121="Done",G121=""),"",$B$2-G121)</f>
        <v/>
      </c>
      <c r="J121" s="10">
        <f>IF(OR(E121="",E121="Done",H121=""),"",MAX(0,$B$2-H121))</f>
        <v/>
      </c>
      <c r="K121" s="10" t="inlineStr">
        <is>
          <t>Not started</t>
        </is>
      </c>
      <c r="L121" s="10" t="n"/>
      <c r="M121" s="11" t="n"/>
      <c r="N121" s="10" t="n">
        <v>0</v>
      </c>
      <c r="O121" s="11" t="n"/>
      <c r="P121" s="10" t="n">
        <v>4</v>
      </c>
    </row>
    <row r="122">
      <c r="A122" s="10" t="inlineStr">
        <is>
          <t>V-118</t>
        </is>
      </c>
      <c r="B122" s="10" t="n"/>
      <c r="C122" s="10" t="n"/>
      <c r="D122" s="10" t="n"/>
      <c r="E122" s="10" t="n"/>
      <c r="F122" s="10" t="n"/>
      <c r="G122" s="11" t="n"/>
      <c r="H122" s="11">
        <f>IF(OR(G122="",E122="Done"),"",G122+IFERROR(VLOOKUP(E122,Lists!$A$2:$B$6,2,FALSE),0))</f>
        <v/>
      </c>
      <c r="I122" s="10">
        <f>IF(OR(E122="",E122="Done",G122=""),"",$B$2-G122)</f>
        <v/>
      </c>
      <c r="J122" s="10">
        <f>IF(OR(E122="",E122="Done",H122=""),"",MAX(0,$B$2-H122))</f>
        <v/>
      </c>
      <c r="K122" s="10" t="inlineStr">
        <is>
          <t>Not started</t>
        </is>
      </c>
      <c r="L122" s="10" t="n"/>
      <c r="M122" s="11" t="n"/>
      <c r="N122" s="10" t="n">
        <v>0</v>
      </c>
      <c r="O122" s="11" t="n"/>
      <c r="P122" s="10" t="n">
        <v>4</v>
      </c>
    </row>
    <row r="123">
      <c r="A123" s="10" t="inlineStr">
        <is>
          <t>V-119</t>
        </is>
      </c>
      <c r="B123" s="10" t="n"/>
      <c r="C123" s="10" t="n"/>
      <c r="D123" s="10" t="n"/>
      <c r="E123" s="10" t="n"/>
      <c r="F123" s="10" t="n"/>
      <c r="G123" s="11" t="n"/>
      <c r="H123" s="11">
        <f>IF(OR(G123="",E123="Done"),"",G123+IFERROR(VLOOKUP(E123,Lists!$A$2:$B$6,2,FALSE),0))</f>
        <v/>
      </c>
      <c r="I123" s="10">
        <f>IF(OR(E123="",E123="Done",G123=""),"",$B$2-G123)</f>
        <v/>
      </c>
      <c r="J123" s="10">
        <f>IF(OR(E123="",E123="Done",H123=""),"",MAX(0,$B$2-H123))</f>
        <v/>
      </c>
      <c r="K123" s="10" t="inlineStr">
        <is>
          <t>Not started</t>
        </is>
      </c>
      <c r="L123" s="10" t="n"/>
      <c r="M123" s="11" t="n"/>
      <c r="N123" s="10" t="n">
        <v>0</v>
      </c>
      <c r="O123" s="11" t="n"/>
      <c r="P123" s="10" t="n">
        <v>4</v>
      </c>
    </row>
    <row r="124">
      <c r="A124" s="10" t="inlineStr">
        <is>
          <t>V-120</t>
        </is>
      </c>
      <c r="B124" s="10" t="n"/>
      <c r="C124" s="10" t="n"/>
      <c r="D124" s="10" t="n"/>
      <c r="E124" s="10" t="n"/>
      <c r="F124" s="10" t="n"/>
      <c r="G124" s="11" t="n"/>
      <c r="H124" s="11">
        <f>IF(OR(G124="",E124="Done"),"",G124+IFERROR(VLOOKUP(E124,Lists!$A$2:$B$6,2,FALSE),0))</f>
        <v/>
      </c>
      <c r="I124" s="10">
        <f>IF(OR(E124="",E124="Done",G124=""),"",$B$2-G124)</f>
        <v/>
      </c>
      <c r="J124" s="10">
        <f>IF(OR(E124="",E124="Done",H124=""),"",MAX(0,$B$2-H124))</f>
        <v/>
      </c>
      <c r="K124" s="10" t="inlineStr">
        <is>
          <t>Not started</t>
        </is>
      </c>
      <c r="L124" s="10" t="n"/>
      <c r="M124" s="11" t="n"/>
      <c r="N124" s="10" t="n">
        <v>0</v>
      </c>
      <c r="O124" s="11" t="n"/>
      <c r="P124" s="10" t="n">
        <v>4</v>
      </c>
    </row>
    <row r="125">
      <c r="A125" s="10" t="inlineStr">
        <is>
          <t>V-121</t>
        </is>
      </c>
      <c r="B125" s="10" t="n"/>
      <c r="C125" s="10" t="n"/>
      <c r="D125" s="10" t="n"/>
      <c r="E125" s="10" t="n"/>
      <c r="F125" s="10" t="n"/>
      <c r="G125" s="11" t="n"/>
      <c r="H125" s="11">
        <f>IF(OR(G125="",E125="Done"),"",G125+IFERROR(VLOOKUP(E125,Lists!$A$2:$B$6,2,FALSE),0))</f>
        <v/>
      </c>
      <c r="I125" s="10">
        <f>IF(OR(E125="",E125="Done",G125=""),"",$B$2-G125)</f>
        <v/>
      </c>
      <c r="J125" s="10">
        <f>IF(OR(E125="",E125="Done",H125=""),"",MAX(0,$B$2-H125))</f>
        <v/>
      </c>
      <c r="K125" s="10" t="inlineStr">
        <is>
          <t>Not started</t>
        </is>
      </c>
      <c r="L125" s="10" t="n"/>
      <c r="M125" s="11" t="n"/>
      <c r="N125" s="10" t="n">
        <v>0</v>
      </c>
      <c r="O125" s="11" t="n"/>
      <c r="P125" s="10" t="n">
        <v>5</v>
      </c>
    </row>
    <row r="126">
      <c r="A126" s="10" t="inlineStr">
        <is>
          <t>V-122</t>
        </is>
      </c>
      <c r="B126" s="10" t="n"/>
      <c r="C126" s="10" t="n"/>
      <c r="D126" s="10" t="n"/>
      <c r="E126" s="10" t="n"/>
      <c r="F126" s="10" t="n"/>
      <c r="G126" s="11" t="n"/>
      <c r="H126" s="11">
        <f>IF(OR(G126="",E126="Done"),"",G126+IFERROR(VLOOKUP(E126,Lists!$A$2:$B$6,2,FALSE),0))</f>
        <v/>
      </c>
      <c r="I126" s="10">
        <f>IF(OR(E126="",E126="Done",G126=""),"",$B$2-G126)</f>
        <v/>
      </c>
      <c r="J126" s="10">
        <f>IF(OR(E126="",E126="Done",H126=""),"",MAX(0,$B$2-H126))</f>
        <v/>
      </c>
      <c r="K126" s="10" t="inlineStr">
        <is>
          <t>Not started</t>
        </is>
      </c>
      <c r="L126" s="10" t="n"/>
      <c r="M126" s="11" t="n"/>
      <c r="N126" s="10" t="n">
        <v>0</v>
      </c>
      <c r="O126" s="11" t="n"/>
      <c r="P126" s="10" t="n">
        <v>5</v>
      </c>
    </row>
    <row r="127">
      <c r="A127" s="10" t="inlineStr">
        <is>
          <t>V-123</t>
        </is>
      </c>
      <c r="B127" s="10" t="n"/>
      <c r="C127" s="10" t="n"/>
      <c r="D127" s="10" t="n"/>
      <c r="E127" s="10" t="n"/>
      <c r="F127" s="10" t="n"/>
      <c r="G127" s="11" t="n"/>
      <c r="H127" s="11">
        <f>IF(OR(G127="",E127="Done"),"",G127+IFERROR(VLOOKUP(E127,Lists!$A$2:$B$6,2,FALSE),0))</f>
        <v/>
      </c>
      <c r="I127" s="10">
        <f>IF(OR(E127="",E127="Done",G127=""),"",$B$2-G127)</f>
        <v/>
      </c>
      <c r="J127" s="10">
        <f>IF(OR(E127="",E127="Done",H127=""),"",MAX(0,$B$2-H127))</f>
        <v/>
      </c>
      <c r="K127" s="10" t="inlineStr">
        <is>
          <t>Not started</t>
        </is>
      </c>
      <c r="L127" s="10" t="n"/>
      <c r="M127" s="11" t="n"/>
      <c r="N127" s="10" t="n">
        <v>0</v>
      </c>
      <c r="O127" s="11" t="n"/>
      <c r="P127" s="10" t="n">
        <v>5</v>
      </c>
    </row>
    <row r="128">
      <c r="A128" s="10" t="inlineStr">
        <is>
          <t>V-124</t>
        </is>
      </c>
      <c r="B128" s="10" t="n"/>
      <c r="C128" s="10" t="n"/>
      <c r="D128" s="10" t="n"/>
      <c r="E128" s="10" t="n"/>
      <c r="F128" s="10" t="n"/>
      <c r="G128" s="11" t="n"/>
      <c r="H128" s="11">
        <f>IF(OR(G128="",E128="Done"),"",G128+IFERROR(VLOOKUP(E128,Lists!$A$2:$B$6,2,FALSE),0))</f>
        <v/>
      </c>
      <c r="I128" s="10">
        <f>IF(OR(E128="",E128="Done",G128=""),"",$B$2-G128)</f>
        <v/>
      </c>
      <c r="J128" s="10">
        <f>IF(OR(E128="",E128="Done",H128=""),"",MAX(0,$B$2-H128))</f>
        <v/>
      </c>
      <c r="K128" s="10" t="inlineStr">
        <is>
          <t>Not started</t>
        </is>
      </c>
      <c r="L128" s="10" t="n"/>
      <c r="M128" s="11" t="n"/>
      <c r="N128" s="10" t="n">
        <v>0</v>
      </c>
      <c r="O128" s="11" t="n"/>
      <c r="P128" s="10" t="n">
        <v>5</v>
      </c>
    </row>
    <row r="129">
      <c r="A129" s="10" t="inlineStr">
        <is>
          <t>V-125</t>
        </is>
      </c>
      <c r="B129" s="10" t="n"/>
      <c r="C129" s="10" t="n"/>
      <c r="D129" s="10" t="n"/>
      <c r="E129" s="10" t="n"/>
      <c r="F129" s="10" t="n"/>
      <c r="G129" s="11" t="n"/>
      <c r="H129" s="11">
        <f>IF(OR(G129="",E129="Done"),"",G129+IFERROR(VLOOKUP(E129,Lists!$A$2:$B$6,2,FALSE),0))</f>
        <v/>
      </c>
      <c r="I129" s="10">
        <f>IF(OR(E129="",E129="Done",G129=""),"",$B$2-G129)</f>
        <v/>
      </c>
      <c r="J129" s="10">
        <f>IF(OR(E129="",E129="Done",H129=""),"",MAX(0,$B$2-H129))</f>
        <v/>
      </c>
      <c r="K129" s="10" t="inlineStr">
        <is>
          <t>Not started</t>
        </is>
      </c>
      <c r="L129" s="10" t="n"/>
      <c r="M129" s="11" t="n"/>
      <c r="N129" s="10" t="n">
        <v>0</v>
      </c>
      <c r="O129" s="11" t="n"/>
      <c r="P129" s="10" t="n">
        <v>5</v>
      </c>
    </row>
    <row r="130">
      <c r="A130" s="10" t="inlineStr">
        <is>
          <t>V-126</t>
        </is>
      </c>
      <c r="B130" s="10" t="n"/>
      <c r="C130" s="10" t="n"/>
      <c r="D130" s="10" t="n"/>
      <c r="E130" s="10" t="n"/>
      <c r="F130" s="10" t="n"/>
      <c r="G130" s="11" t="n"/>
      <c r="H130" s="11">
        <f>IF(OR(G130="",E130="Done"),"",G130+IFERROR(VLOOKUP(E130,Lists!$A$2:$B$6,2,FALSE),0))</f>
        <v/>
      </c>
      <c r="I130" s="10">
        <f>IF(OR(E130="",E130="Done",G130=""),"",$B$2-G130)</f>
        <v/>
      </c>
      <c r="J130" s="10">
        <f>IF(OR(E130="",E130="Done",H130=""),"",MAX(0,$B$2-H130))</f>
        <v/>
      </c>
      <c r="K130" s="10" t="inlineStr">
        <is>
          <t>Not started</t>
        </is>
      </c>
      <c r="L130" s="10" t="n"/>
      <c r="M130" s="11" t="n"/>
      <c r="N130" s="10" t="n">
        <v>0</v>
      </c>
      <c r="O130" s="11" t="n"/>
      <c r="P130" s="10" t="n">
        <v>5</v>
      </c>
    </row>
    <row r="131">
      <c r="A131" s="10" t="inlineStr">
        <is>
          <t>V-127</t>
        </is>
      </c>
      <c r="B131" s="10" t="n"/>
      <c r="C131" s="10" t="n"/>
      <c r="D131" s="10" t="n"/>
      <c r="E131" s="10" t="n"/>
      <c r="F131" s="10" t="n"/>
      <c r="G131" s="11" t="n"/>
      <c r="H131" s="11">
        <f>IF(OR(G131="",E131="Done"),"",G131+IFERROR(VLOOKUP(E131,Lists!$A$2:$B$6,2,FALSE),0))</f>
        <v/>
      </c>
      <c r="I131" s="10">
        <f>IF(OR(E131="",E131="Done",G131=""),"",$B$2-G131)</f>
        <v/>
      </c>
      <c r="J131" s="10">
        <f>IF(OR(E131="",E131="Done",H131=""),"",MAX(0,$B$2-H131))</f>
        <v/>
      </c>
      <c r="K131" s="10" t="inlineStr">
        <is>
          <t>Not started</t>
        </is>
      </c>
      <c r="L131" s="10" t="n"/>
      <c r="M131" s="11" t="n"/>
      <c r="N131" s="10" t="n">
        <v>0</v>
      </c>
      <c r="O131" s="11" t="n"/>
      <c r="P131" s="10" t="n">
        <v>5</v>
      </c>
    </row>
    <row r="132">
      <c r="A132" s="10" t="inlineStr">
        <is>
          <t>V-128</t>
        </is>
      </c>
      <c r="B132" s="10" t="n"/>
      <c r="C132" s="10" t="n"/>
      <c r="D132" s="10" t="n"/>
      <c r="E132" s="10" t="n"/>
      <c r="F132" s="10" t="n"/>
      <c r="G132" s="11" t="n"/>
      <c r="H132" s="11">
        <f>IF(OR(G132="",E132="Done"),"",G132+IFERROR(VLOOKUP(E132,Lists!$A$2:$B$6,2,FALSE),0))</f>
        <v/>
      </c>
      <c r="I132" s="10">
        <f>IF(OR(E132="",E132="Done",G132=""),"",$B$2-G132)</f>
        <v/>
      </c>
      <c r="J132" s="10">
        <f>IF(OR(E132="",E132="Done",H132=""),"",MAX(0,$B$2-H132))</f>
        <v/>
      </c>
      <c r="K132" s="10" t="inlineStr">
        <is>
          <t>Not started</t>
        </is>
      </c>
      <c r="L132" s="10" t="n"/>
      <c r="M132" s="11" t="n"/>
      <c r="N132" s="10" t="n">
        <v>0</v>
      </c>
      <c r="O132" s="11" t="n"/>
      <c r="P132" s="10" t="n">
        <v>5</v>
      </c>
    </row>
    <row r="133">
      <c r="A133" s="10" t="inlineStr">
        <is>
          <t>V-129</t>
        </is>
      </c>
      <c r="B133" s="10" t="n"/>
      <c r="C133" s="10" t="n"/>
      <c r="D133" s="10" t="n"/>
      <c r="E133" s="10" t="n"/>
      <c r="F133" s="10" t="n"/>
      <c r="G133" s="11" t="n"/>
      <c r="H133" s="11">
        <f>IF(OR(G133="",E133="Done"),"",G133+IFERROR(VLOOKUP(E133,Lists!$A$2:$B$6,2,FALSE),0))</f>
        <v/>
      </c>
      <c r="I133" s="10">
        <f>IF(OR(E133="",E133="Done",G133=""),"",$B$2-G133)</f>
        <v/>
      </c>
      <c r="J133" s="10">
        <f>IF(OR(E133="",E133="Done",H133=""),"",MAX(0,$B$2-H133))</f>
        <v/>
      </c>
      <c r="K133" s="10" t="inlineStr">
        <is>
          <t>Not started</t>
        </is>
      </c>
      <c r="L133" s="10" t="n"/>
      <c r="M133" s="11" t="n"/>
      <c r="N133" s="10" t="n">
        <v>0</v>
      </c>
      <c r="O133" s="11" t="n"/>
      <c r="P133" s="10" t="n">
        <v>5</v>
      </c>
    </row>
    <row r="134">
      <c r="A134" s="10" t="inlineStr">
        <is>
          <t>V-130</t>
        </is>
      </c>
      <c r="B134" s="10" t="n"/>
      <c r="C134" s="10" t="n"/>
      <c r="D134" s="10" t="n"/>
      <c r="E134" s="10" t="n"/>
      <c r="F134" s="10" t="n"/>
      <c r="G134" s="11" t="n"/>
      <c r="H134" s="11">
        <f>IF(OR(G134="",E134="Done"),"",G134+IFERROR(VLOOKUP(E134,Lists!$A$2:$B$6,2,FALSE),0))</f>
        <v/>
      </c>
      <c r="I134" s="10">
        <f>IF(OR(E134="",E134="Done",G134=""),"",$B$2-G134)</f>
        <v/>
      </c>
      <c r="J134" s="10">
        <f>IF(OR(E134="",E134="Done",H134=""),"",MAX(0,$B$2-H134))</f>
        <v/>
      </c>
      <c r="K134" s="10" t="inlineStr">
        <is>
          <t>Not started</t>
        </is>
      </c>
      <c r="L134" s="10" t="n"/>
      <c r="M134" s="11" t="n"/>
      <c r="N134" s="10" t="n">
        <v>0</v>
      </c>
      <c r="O134" s="11" t="n"/>
      <c r="P134" s="10" t="n">
        <v>5</v>
      </c>
    </row>
    <row r="135">
      <c r="A135" s="10" t="inlineStr">
        <is>
          <t>V-131</t>
        </is>
      </c>
      <c r="B135" s="10" t="n"/>
      <c r="C135" s="10" t="n"/>
      <c r="D135" s="10" t="n"/>
      <c r="E135" s="10" t="n"/>
      <c r="F135" s="10" t="n"/>
      <c r="G135" s="11" t="n"/>
      <c r="H135" s="11">
        <f>IF(OR(G135="",E135="Done"),"",G135+IFERROR(VLOOKUP(E135,Lists!$A$2:$B$6,2,FALSE),0))</f>
        <v/>
      </c>
      <c r="I135" s="10">
        <f>IF(OR(E135="",E135="Done",G135=""),"",$B$2-G135)</f>
        <v/>
      </c>
      <c r="J135" s="10">
        <f>IF(OR(E135="",E135="Done",H135=""),"",MAX(0,$B$2-H135))</f>
        <v/>
      </c>
      <c r="K135" s="10" t="inlineStr">
        <is>
          <t>Not started</t>
        </is>
      </c>
      <c r="L135" s="10" t="n"/>
      <c r="M135" s="11" t="n"/>
      <c r="N135" s="10" t="n">
        <v>0</v>
      </c>
      <c r="O135" s="11" t="n"/>
      <c r="P135" s="10" t="n">
        <v>5</v>
      </c>
    </row>
    <row r="136">
      <c r="A136" s="10" t="inlineStr">
        <is>
          <t>V-132</t>
        </is>
      </c>
      <c r="B136" s="10" t="n"/>
      <c r="C136" s="10" t="n"/>
      <c r="D136" s="10" t="n"/>
      <c r="E136" s="10" t="n"/>
      <c r="F136" s="10" t="n"/>
      <c r="G136" s="11" t="n"/>
      <c r="H136" s="11">
        <f>IF(OR(G136="",E136="Done"),"",G136+IFERROR(VLOOKUP(E136,Lists!$A$2:$B$6,2,FALSE),0))</f>
        <v/>
      </c>
      <c r="I136" s="10">
        <f>IF(OR(E136="",E136="Done",G136=""),"",$B$2-G136)</f>
        <v/>
      </c>
      <c r="J136" s="10">
        <f>IF(OR(E136="",E136="Done",H136=""),"",MAX(0,$B$2-H136))</f>
        <v/>
      </c>
      <c r="K136" s="10" t="inlineStr">
        <is>
          <t>Not started</t>
        </is>
      </c>
      <c r="L136" s="10" t="n"/>
      <c r="M136" s="11" t="n"/>
      <c r="N136" s="10" t="n">
        <v>0</v>
      </c>
      <c r="O136" s="11" t="n"/>
      <c r="P136" s="10" t="n">
        <v>5</v>
      </c>
    </row>
    <row r="137">
      <c r="A137" s="10" t="inlineStr">
        <is>
          <t>V-133</t>
        </is>
      </c>
      <c r="B137" s="10" t="n"/>
      <c r="C137" s="10" t="n"/>
      <c r="D137" s="10" t="n"/>
      <c r="E137" s="10" t="n"/>
      <c r="F137" s="10" t="n"/>
      <c r="G137" s="11" t="n"/>
      <c r="H137" s="11">
        <f>IF(OR(G137="",E137="Done"),"",G137+IFERROR(VLOOKUP(E137,Lists!$A$2:$B$6,2,FALSE),0))</f>
        <v/>
      </c>
      <c r="I137" s="10">
        <f>IF(OR(E137="",E137="Done",G137=""),"",$B$2-G137)</f>
        <v/>
      </c>
      <c r="J137" s="10">
        <f>IF(OR(E137="",E137="Done",H137=""),"",MAX(0,$B$2-H137))</f>
        <v/>
      </c>
      <c r="K137" s="10" t="inlineStr">
        <is>
          <t>Not started</t>
        </is>
      </c>
      <c r="L137" s="10" t="n"/>
      <c r="M137" s="11" t="n"/>
      <c r="N137" s="10" t="n">
        <v>0</v>
      </c>
      <c r="O137" s="11" t="n"/>
      <c r="P137" s="10" t="n">
        <v>5</v>
      </c>
    </row>
    <row r="138">
      <c r="A138" s="10" t="inlineStr">
        <is>
          <t>V-134</t>
        </is>
      </c>
      <c r="B138" s="10" t="n"/>
      <c r="C138" s="10" t="n"/>
      <c r="D138" s="10" t="n"/>
      <c r="E138" s="10" t="n"/>
      <c r="F138" s="10" t="n"/>
      <c r="G138" s="11" t="n"/>
      <c r="H138" s="11">
        <f>IF(OR(G138="",E138="Done"),"",G138+IFERROR(VLOOKUP(E138,Lists!$A$2:$B$6,2,FALSE),0))</f>
        <v/>
      </c>
      <c r="I138" s="10">
        <f>IF(OR(E138="",E138="Done",G138=""),"",$B$2-G138)</f>
        <v/>
      </c>
      <c r="J138" s="10">
        <f>IF(OR(E138="",E138="Done",H138=""),"",MAX(0,$B$2-H138))</f>
        <v/>
      </c>
      <c r="K138" s="10" t="inlineStr">
        <is>
          <t>Not started</t>
        </is>
      </c>
      <c r="L138" s="10" t="n"/>
      <c r="M138" s="11" t="n"/>
      <c r="N138" s="10" t="n">
        <v>0</v>
      </c>
      <c r="O138" s="11" t="n"/>
      <c r="P138" s="10" t="n">
        <v>5</v>
      </c>
    </row>
    <row r="139">
      <c r="A139" s="10" t="inlineStr">
        <is>
          <t>V-135</t>
        </is>
      </c>
      <c r="B139" s="10" t="n"/>
      <c r="C139" s="10" t="n"/>
      <c r="D139" s="10" t="n"/>
      <c r="E139" s="10" t="n"/>
      <c r="F139" s="10" t="n"/>
      <c r="G139" s="11" t="n"/>
      <c r="H139" s="11">
        <f>IF(OR(G139="",E139="Done"),"",G139+IFERROR(VLOOKUP(E139,Lists!$A$2:$B$6,2,FALSE),0))</f>
        <v/>
      </c>
      <c r="I139" s="10">
        <f>IF(OR(E139="",E139="Done",G139=""),"",$B$2-G139)</f>
        <v/>
      </c>
      <c r="J139" s="10">
        <f>IF(OR(E139="",E139="Done",H139=""),"",MAX(0,$B$2-H139))</f>
        <v/>
      </c>
      <c r="K139" s="10" t="inlineStr">
        <is>
          <t>Not started</t>
        </is>
      </c>
      <c r="L139" s="10" t="n"/>
      <c r="M139" s="11" t="n"/>
      <c r="N139" s="10" t="n">
        <v>0</v>
      </c>
      <c r="O139" s="11" t="n"/>
      <c r="P139" s="10" t="n">
        <v>5</v>
      </c>
    </row>
    <row r="140">
      <c r="A140" s="10" t="inlineStr">
        <is>
          <t>V-136</t>
        </is>
      </c>
      <c r="B140" s="10" t="n"/>
      <c r="C140" s="10" t="n"/>
      <c r="D140" s="10" t="n"/>
      <c r="E140" s="10" t="n"/>
      <c r="F140" s="10" t="n"/>
      <c r="G140" s="11" t="n"/>
      <c r="H140" s="11">
        <f>IF(OR(G140="",E140="Done"),"",G140+IFERROR(VLOOKUP(E140,Lists!$A$2:$B$6,2,FALSE),0))</f>
        <v/>
      </c>
      <c r="I140" s="10">
        <f>IF(OR(E140="",E140="Done",G140=""),"",$B$2-G140)</f>
        <v/>
      </c>
      <c r="J140" s="10">
        <f>IF(OR(E140="",E140="Done",H140=""),"",MAX(0,$B$2-H140))</f>
        <v/>
      </c>
      <c r="K140" s="10" t="inlineStr">
        <is>
          <t>Not started</t>
        </is>
      </c>
      <c r="L140" s="10" t="n"/>
      <c r="M140" s="11" t="n"/>
      <c r="N140" s="10" t="n">
        <v>0</v>
      </c>
      <c r="O140" s="11" t="n"/>
      <c r="P140" s="10" t="n">
        <v>5</v>
      </c>
    </row>
    <row r="141">
      <c r="A141" s="10" t="inlineStr">
        <is>
          <t>V-137</t>
        </is>
      </c>
      <c r="B141" s="10" t="n"/>
      <c r="C141" s="10" t="n"/>
      <c r="D141" s="10" t="n"/>
      <c r="E141" s="10" t="n"/>
      <c r="F141" s="10" t="n"/>
      <c r="G141" s="11" t="n"/>
      <c r="H141" s="11">
        <f>IF(OR(G141="",E141="Done"),"",G141+IFERROR(VLOOKUP(E141,Lists!$A$2:$B$6,2,FALSE),0))</f>
        <v/>
      </c>
      <c r="I141" s="10">
        <f>IF(OR(E141="",E141="Done",G141=""),"",$B$2-G141)</f>
        <v/>
      </c>
      <c r="J141" s="10">
        <f>IF(OR(E141="",E141="Done",H141=""),"",MAX(0,$B$2-H141))</f>
        <v/>
      </c>
      <c r="K141" s="10" t="inlineStr">
        <is>
          <t>Not started</t>
        </is>
      </c>
      <c r="L141" s="10" t="n"/>
      <c r="M141" s="11" t="n"/>
      <c r="N141" s="10" t="n">
        <v>0</v>
      </c>
      <c r="O141" s="11" t="n"/>
      <c r="P141" s="10" t="n">
        <v>5</v>
      </c>
    </row>
    <row r="142">
      <c r="A142" s="10" t="inlineStr">
        <is>
          <t>V-138</t>
        </is>
      </c>
      <c r="B142" s="10" t="n"/>
      <c r="C142" s="10" t="n"/>
      <c r="D142" s="10" t="n"/>
      <c r="E142" s="10" t="n"/>
      <c r="F142" s="10" t="n"/>
      <c r="G142" s="11" t="n"/>
      <c r="H142" s="11">
        <f>IF(OR(G142="",E142="Done"),"",G142+IFERROR(VLOOKUP(E142,Lists!$A$2:$B$6,2,FALSE),0))</f>
        <v/>
      </c>
      <c r="I142" s="10">
        <f>IF(OR(E142="",E142="Done",G142=""),"",$B$2-G142)</f>
        <v/>
      </c>
      <c r="J142" s="10">
        <f>IF(OR(E142="",E142="Done",H142=""),"",MAX(0,$B$2-H142))</f>
        <v/>
      </c>
      <c r="K142" s="10" t="inlineStr">
        <is>
          <t>Not started</t>
        </is>
      </c>
      <c r="L142" s="10" t="n"/>
      <c r="M142" s="11" t="n"/>
      <c r="N142" s="10" t="n">
        <v>0</v>
      </c>
      <c r="O142" s="11" t="n"/>
      <c r="P142" s="10" t="n">
        <v>5</v>
      </c>
    </row>
    <row r="143">
      <c r="A143" s="10" t="inlineStr">
        <is>
          <t>V-139</t>
        </is>
      </c>
      <c r="B143" s="10" t="n"/>
      <c r="C143" s="10" t="n"/>
      <c r="D143" s="10" t="n"/>
      <c r="E143" s="10" t="n"/>
      <c r="F143" s="10" t="n"/>
      <c r="G143" s="11" t="n"/>
      <c r="H143" s="11">
        <f>IF(OR(G143="",E143="Done"),"",G143+IFERROR(VLOOKUP(E143,Lists!$A$2:$B$6,2,FALSE),0))</f>
        <v/>
      </c>
      <c r="I143" s="10">
        <f>IF(OR(E143="",E143="Done",G143=""),"",$B$2-G143)</f>
        <v/>
      </c>
      <c r="J143" s="10">
        <f>IF(OR(E143="",E143="Done",H143=""),"",MAX(0,$B$2-H143))</f>
        <v/>
      </c>
      <c r="K143" s="10" t="inlineStr">
        <is>
          <t>Not started</t>
        </is>
      </c>
      <c r="L143" s="10" t="n"/>
      <c r="M143" s="11" t="n"/>
      <c r="N143" s="10" t="n">
        <v>0</v>
      </c>
      <c r="O143" s="11" t="n"/>
      <c r="P143" s="10" t="n">
        <v>5</v>
      </c>
    </row>
    <row r="144">
      <c r="A144" s="10" t="inlineStr">
        <is>
          <t>V-140</t>
        </is>
      </c>
      <c r="B144" s="10" t="n"/>
      <c r="C144" s="10" t="n"/>
      <c r="D144" s="10" t="n"/>
      <c r="E144" s="10" t="n"/>
      <c r="F144" s="10" t="n"/>
      <c r="G144" s="11" t="n"/>
      <c r="H144" s="11">
        <f>IF(OR(G144="",E144="Done"),"",G144+IFERROR(VLOOKUP(E144,Lists!$A$2:$B$6,2,FALSE),0))</f>
        <v/>
      </c>
      <c r="I144" s="10">
        <f>IF(OR(E144="",E144="Done",G144=""),"",$B$2-G144)</f>
        <v/>
      </c>
      <c r="J144" s="10">
        <f>IF(OR(E144="",E144="Done",H144=""),"",MAX(0,$B$2-H144))</f>
        <v/>
      </c>
      <c r="K144" s="10" t="inlineStr">
        <is>
          <t>Not started</t>
        </is>
      </c>
      <c r="L144" s="10" t="n"/>
      <c r="M144" s="11" t="n"/>
      <c r="N144" s="10" t="n">
        <v>0</v>
      </c>
      <c r="O144" s="11" t="n"/>
      <c r="P144" s="10" t="n">
        <v>5</v>
      </c>
    </row>
    <row r="145">
      <c r="A145" s="10" t="inlineStr">
        <is>
          <t>V-141</t>
        </is>
      </c>
      <c r="B145" s="10" t="n"/>
      <c r="C145" s="10" t="n"/>
      <c r="D145" s="10" t="n"/>
      <c r="E145" s="10" t="n"/>
      <c r="F145" s="10" t="n"/>
      <c r="G145" s="11" t="n"/>
      <c r="H145" s="11">
        <f>IF(OR(G145="",E145="Done"),"",G145+IFERROR(VLOOKUP(E145,Lists!$A$2:$B$6,2,FALSE),0))</f>
        <v/>
      </c>
      <c r="I145" s="10">
        <f>IF(OR(E145="",E145="Done",G145=""),"",$B$2-G145)</f>
        <v/>
      </c>
      <c r="J145" s="10">
        <f>IF(OR(E145="",E145="Done",H145=""),"",MAX(0,$B$2-H145))</f>
        <v/>
      </c>
      <c r="K145" s="10" t="inlineStr">
        <is>
          <t>Not started</t>
        </is>
      </c>
      <c r="L145" s="10" t="n"/>
      <c r="M145" s="11" t="n"/>
      <c r="N145" s="10" t="n">
        <v>0</v>
      </c>
      <c r="O145" s="11" t="n"/>
      <c r="P145" s="10" t="n">
        <v>5</v>
      </c>
    </row>
    <row r="146">
      <c r="A146" s="10" t="inlineStr">
        <is>
          <t>V-142</t>
        </is>
      </c>
      <c r="B146" s="10" t="n"/>
      <c r="C146" s="10" t="n"/>
      <c r="D146" s="10" t="n"/>
      <c r="E146" s="10" t="n"/>
      <c r="F146" s="10" t="n"/>
      <c r="G146" s="11" t="n"/>
      <c r="H146" s="11">
        <f>IF(OR(G146="",E146="Done"),"",G146+IFERROR(VLOOKUP(E146,Lists!$A$2:$B$6,2,FALSE),0))</f>
        <v/>
      </c>
      <c r="I146" s="10">
        <f>IF(OR(E146="",E146="Done",G146=""),"",$B$2-G146)</f>
        <v/>
      </c>
      <c r="J146" s="10">
        <f>IF(OR(E146="",E146="Done",H146=""),"",MAX(0,$B$2-H146))</f>
        <v/>
      </c>
      <c r="K146" s="10" t="inlineStr">
        <is>
          <t>Not started</t>
        </is>
      </c>
      <c r="L146" s="10" t="n"/>
      <c r="M146" s="11" t="n"/>
      <c r="N146" s="10" t="n">
        <v>0</v>
      </c>
      <c r="O146" s="11" t="n"/>
      <c r="P146" s="10" t="n">
        <v>5</v>
      </c>
    </row>
    <row r="147">
      <c r="A147" s="10" t="inlineStr">
        <is>
          <t>V-143</t>
        </is>
      </c>
      <c r="B147" s="10" t="n"/>
      <c r="C147" s="10" t="n"/>
      <c r="D147" s="10" t="n"/>
      <c r="E147" s="10" t="n"/>
      <c r="F147" s="10" t="n"/>
      <c r="G147" s="11" t="n"/>
      <c r="H147" s="11">
        <f>IF(OR(G147="",E147="Done"),"",G147+IFERROR(VLOOKUP(E147,Lists!$A$2:$B$6,2,FALSE),0))</f>
        <v/>
      </c>
      <c r="I147" s="10">
        <f>IF(OR(E147="",E147="Done",G147=""),"",$B$2-G147)</f>
        <v/>
      </c>
      <c r="J147" s="10">
        <f>IF(OR(E147="",E147="Done",H147=""),"",MAX(0,$B$2-H147))</f>
        <v/>
      </c>
      <c r="K147" s="10" t="inlineStr">
        <is>
          <t>Not started</t>
        </is>
      </c>
      <c r="L147" s="10" t="n"/>
      <c r="M147" s="11" t="n"/>
      <c r="N147" s="10" t="n">
        <v>0</v>
      </c>
      <c r="O147" s="11" t="n"/>
      <c r="P147" s="10" t="n">
        <v>5</v>
      </c>
    </row>
    <row r="148">
      <c r="A148" s="10" t="inlineStr">
        <is>
          <t>V-144</t>
        </is>
      </c>
      <c r="B148" s="10" t="n"/>
      <c r="C148" s="10" t="n"/>
      <c r="D148" s="10" t="n"/>
      <c r="E148" s="10" t="n"/>
      <c r="F148" s="10" t="n"/>
      <c r="G148" s="11" t="n"/>
      <c r="H148" s="11">
        <f>IF(OR(G148="",E148="Done"),"",G148+IFERROR(VLOOKUP(E148,Lists!$A$2:$B$6,2,FALSE),0))</f>
        <v/>
      </c>
      <c r="I148" s="10">
        <f>IF(OR(E148="",E148="Done",G148=""),"",$B$2-G148)</f>
        <v/>
      </c>
      <c r="J148" s="10">
        <f>IF(OR(E148="",E148="Done",H148=""),"",MAX(0,$B$2-H148))</f>
        <v/>
      </c>
      <c r="K148" s="10" t="inlineStr">
        <is>
          <t>Not started</t>
        </is>
      </c>
      <c r="L148" s="10" t="n"/>
      <c r="M148" s="11" t="n"/>
      <c r="N148" s="10" t="n">
        <v>0</v>
      </c>
      <c r="O148" s="11" t="n"/>
      <c r="P148" s="10" t="n">
        <v>5</v>
      </c>
    </row>
    <row r="149">
      <c r="A149" s="10" t="inlineStr">
        <is>
          <t>V-145</t>
        </is>
      </c>
      <c r="B149" s="10" t="n"/>
      <c r="C149" s="10" t="n"/>
      <c r="D149" s="10" t="n"/>
      <c r="E149" s="10" t="n"/>
      <c r="F149" s="10" t="n"/>
      <c r="G149" s="11" t="n"/>
      <c r="H149" s="11">
        <f>IF(OR(G149="",E149="Done"),"",G149+IFERROR(VLOOKUP(E149,Lists!$A$2:$B$6,2,FALSE),0))</f>
        <v/>
      </c>
      <c r="I149" s="10">
        <f>IF(OR(E149="",E149="Done",G149=""),"",$B$2-G149)</f>
        <v/>
      </c>
      <c r="J149" s="10">
        <f>IF(OR(E149="",E149="Done",H149=""),"",MAX(0,$B$2-H149))</f>
        <v/>
      </c>
      <c r="K149" s="10" t="inlineStr">
        <is>
          <t>Not started</t>
        </is>
      </c>
      <c r="L149" s="10" t="n"/>
      <c r="M149" s="11" t="n"/>
      <c r="N149" s="10" t="n">
        <v>0</v>
      </c>
      <c r="O149" s="11" t="n"/>
      <c r="P149" s="10" t="n">
        <v>5</v>
      </c>
    </row>
    <row r="150">
      <c r="A150" s="10" t="inlineStr">
        <is>
          <t>V-146</t>
        </is>
      </c>
      <c r="B150" s="10" t="n"/>
      <c r="C150" s="10" t="n"/>
      <c r="D150" s="10" t="n"/>
      <c r="E150" s="10" t="n"/>
      <c r="F150" s="10" t="n"/>
      <c r="G150" s="11" t="n"/>
      <c r="H150" s="11">
        <f>IF(OR(G150="",E150="Done"),"",G150+IFERROR(VLOOKUP(E150,Lists!$A$2:$B$6,2,FALSE),0))</f>
        <v/>
      </c>
      <c r="I150" s="10">
        <f>IF(OR(E150="",E150="Done",G150=""),"",$B$2-G150)</f>
        <v/>
      </c>
      <c r="J150" s="10">
        <f>IF(OR(E150="",E150="Done",H150=""),"",MAX(0,$B$2-H150))</f>
        <v/>
      </c>
      <c r="K150" s="10" t="inlineStr">
        <is>
          <t>Not started</t>
        </is>
      </c>
      <c r="L150" s="10" t="n"/>
      <c r="M150" s="11" t="n"/>
      <c r="N150" s="10" t="n">
        <v>0</v>
      </c>
      <c r="O150" s="11" t="n"/>
      <c r="P150" s="10" t="n">
        <v>5</v>
      </c>
    </row>
    <row r="151">
      <c r="A151" s="10" t="inlineStr">
        <is>
          <t>V-147</t>
        </is>
      </c>
      <c r="B151" s="10" t="n"/>
      <c r="C151" s="10" t="n"/>
      <c r="D151" s="10" t="n"/>
      <c r="E151" s="10" t="n"/>
      <c r="F151" s="10" t="n"/>
      <c r="G151" s="11" t="n"/>
      <c r="H151" s="11">
        <f>IF(OR(G151="",E151="Done"),"",G151+IFERROR(VLOOKUP(E151,Lists!$A$2:$B$6,2,FALSE),0))</f>
        <v/>
      </c>
      <c r="I151" s="10">
        <f>IF(OR(E151="",E151="Done",G151=""),"",$B$2-G151)</f>
        <v/>
      </c>
      <c r="J151" s="10">
        <f>IF(OR(E151="",E151="Done",H151=""),"",MAX(0,$B$2-H151))</f>
        <v/>
      </c>
      <c r="K151" s="10" t="inlineStr">
        <is>
          <t>Not started</t>
        </is>
      </c>
      <c r="L151" s="10" t="n"/>
      <c r="M151" s="11" t="n"/>
      <c r="N151" s="10" t="n">
        <v>0</v>
      </c>
      <c r="O151" s="11" t="n"/>
      <c r="P151" s="10" t="n">
        <v>5</v>
      </c>
    </row>
    <row r="152">
      <c r="A152" s="10" t="inlineStr">
        <is>
          <t>V-148</t>
        </is>
      </c>
      <c r="B152" s="10" t="n"/>
      <c r="C152" s="10" t="n"/>
      <c r="D152" s="10" t="n"/>
      <c r="E152" s="10" t="n"/>
      <c r="F152" s="10" t="n"/>
      <c r="G152" s="11" t="n"/>
      <c r="H152" s="11">
        <f>IF(OR(G152="",E152="Done"),"",G152+IFERROR(VLOOKUP(E152,Lists!$A$2:$B$6,2,FALSE),0))</f>
        <v/>
      </c>
      <c r="I152" s="10">
        <f>IF(OR(E152="",E152="Done",G152=""),"",$B$2-G152)</f>
        <v/>
      </c>
      <c r="J152" s="10">
        <f>IF(OR(E152="",E152="Done",H152=""),"",MAX(0,$B$2-H152))</f>
        <v/>
      </c>
      <c r="K152" s="10" t="inlineStr">
        <is>
          <t>Not started</t>
        </is>
      </c>
      <c r="L152" s="10" t="n"/>
      <c r="M152" s="11" t="n"/>
      <c r="N152" s="10" t="n">
        <v>0</v>
      </c>
      <c r="O152" s="11" t="n"/>
      <c r="P152" s="10" t="n">
        <v>5</v>
      </c>
    </row>
    <row r="153">
      <c r="A153" s="10" t="inlineStr">
        <is>
          <t>V-149</t>
        </is>
      </c>
      <c r="B153" s="10" t="n"/>
      <c r="C153" s="10" t="n"/>
      <c r="D153" s="10" t="n"/>
      <c r="E153" s="10" t="n"/>
      <c r="F153" s="10" t="n"/>
      <c r="G153" s="11" t="n"/>
      <c r="H153" s="11">
        <f>IF(OR(G153="",E153="Done"),"",G153+IFERROR(VLOOKUP(E153,Lists!$A$2:$B$6,2,FALSE),0))</f>
        <v/>
      </c>
      <c r="I153" s="10">
        <f>IF(OR(E153="",E153="Done",G153=""),"",$B$2-G153)</f>
        <v/>
      </c>
      <c r="J153" s="10">
        <f>IF(OR(E153="",E153="Done",H153=""),"",MAX(0,$B$2-H153))</f>
        <v/>
      </c>
      <c r="K153" s="10" t="inlineStr">
        <is>
          <t>Not started</t>
        </is>
      </c>
      <c r="L153" s="10" t="n"/>
      <c r="M153" s="11" t="n"/>
      <c r="N153" s="10" t="n">
        <v>0</v>
      </c>
      <c r="O153" s="11" t="n"/>
      <c r="P153" s="10" t="n">
        <v>5</v>
      </c>
    </row>
    <row r="154">
      <c r="A154" s="10" t="inlineStr">
        <is>
          <t>V-150</t>
        </is>
      </c>
      <c r="B154" s="10" t="n"/>
      <c r="C154" s="10" t="n"/>
      <c r="D154" s="10" t="n"/>
      <c r="E154" s="10" t="n"/>
      <c r="F154" s="10" t="n"/>
      <c r="G154" s="11" t="n"/>
      <c r="H154" s="11">
        <f>IF(OR(G154="",E154="Done"),"",G154+IFERROR(VLOOKUP(E154,Lists!$A$2:$B$6,2,FALSE),0))</f>
        <v/>
      </c>
      <c r="I154" s="10">
        <f>IF(OR(E154="",E154="Done",G154=""),"",$B$2-G154)</f>
        <v/>
      </c>
      <c r="J154" s="10">
        <f>IF(OR(E154="",E154="Done",H154=""),"",MAX(0,$B$2-H154))</f>
        <v/>
      </c>
      <c r="K154" s="10" t="inlineStr">
        <is>
          <t>Not started</t>
        </is>
      </c>
      <c r="L154" s="10" t="n"/>
      <c r="M154" s="11" t="n"/>
      <c r="N154" s="10" t="n">
        <v>0</v>
      </c>
      <c r="O154" s="11" t="n"/>
      <c r="P154" s="10" t="n">
        <v>5</v>
      </c>
    </row>
    <row r="155">
      <c r="A155" s="10" t="inlineStr">
        <is>
          <t>V-151</t>
        </is>
      </c>
      <c r="B155" s="10" t="n"/>
      <c r="C155" s="10" t="n"/>
      <c r="D155" s="10" t="n"/>
      <c r="E155" s="10" t="n"/>
      <c r="F155" s="10" t="n"/>
      <c r="G155" s="11" t="n"/>
      <c r="H155" s="11">
        <f>IF(OR(G155="",E155="Done"),"",G155+IFERROR(VLOOKUP(E155,Lists!$A$2:$B$6,2,FALSE),0))</f>
        <v/>
      </c>
      <c r="I155" s="10">
        <f>IF(OR(E155="",E155="Done",G155=""),"",$B$2-G155)</f>
        <v/>
      </c>
      <c r="J155" s="10">
        <f>IF(OR(E155="",E155="Done",H155=""),"",MAX(0,$B$2-H155))</f>
        <v/>
      </c>
      <c r="K155" s="10" t="inlineStr">
        <is>
          <t>Not started</t>
        </is>
      </c>
      <c r="L155" s="10" t="n"/>
      <c r="M155" s="11" t="n"/>
      <c r="N155" s="10" t="n">
        <v>0</v>
      </c>
      <c r="O155" s="11" t="n"/>
      <c r="P155" s="10" t="n">
        <v>6</v>
      </c>
    </row>
    <row r="156">
      <c r="A156" s="10" t="inlineStr">
        <is>
          <t>V-152</t>
        </is>
      </c>
      <c r="B156" s="10" t="n"/>
      <c r="C156" s="10" t="n"/>
      <c r="D156" s="10" t="n"/>
      <c r="E156" s="10" t="n"/>
      <c r="F156" s="10" t="n"/>
      <c r="G156" s="11" t="n"/>
      <c r="H156" s="11">
        <f>IF(OR(G156="",E156="Done"),"",G156+IFERROR(VLOOKUP(E156,Lists!$A$2:$B$6,2,FALSE),0))</f>
        <v/>
      </c>
      <c r="I156" s="10">
        <f>IF(OR(E156="",E156="Done",G156=""),"",$B$2-G156)</f>
        <v/>
      </c>
      <c r="J156" s="10">
        <f>IF(OR(E156="",E156="Done",H156=""),"",MAX(0,$B$2-H156))</f>
        <v/>
      </c>
      <c r="K156" s="10" t="inlineStr">
        <is>
          <t>Not started</t>
        </is>
      </c>
      <c r="L156" s="10" t="n"/>
      <c r="M156" s="11" t="n"/>
      <c r="N156" s="10" t="n">
        <v>0</v>
      </c>
      <c r="O156" s="11" t="n"/>
      <c r="P156" s="10" t="n">
        <v>6</v>
      </c>
    </row>
    <row r="157">
      <c r="A157" s="10" t="inlineStr">
        <is>
          <t>V-153</t>
        </is>
      </c>
      <c r="B157" s="10" t="n"/>
      <c r="C157" s="10" t="n"/>
      <c r="D157" s="10" t="n"/>
      <c r="E157" s="10" t="n"/>
      <c r="F157" s="10" t="n"/>
      <c r="G157" s="11" t="n"/>
      <c r="H157" s="11">
        <f>IF(OR(G157="",E157="Done"),"",G157+IFERROR(VLOOKUP(E157,Lists!$A$2:$B$6,2,FALSE),0))</f>
        <v/>
      </c>
      <c r="I157" s="10">
        <f>IF(OR(E157="",E157="Done",G157=""),"",$B$2-G157)</f>
        <v/>
      </c>
      <c r="J157" s="10">
        <f>IF(OR(E157="",E157="Done",H157=""),"",MAX(0,$B$2-H157))</f>
        <v/>
      </c>
      <c r="K157" s="10" t="inlineStr">
        <is>
          <t>Not started</t>
        </is>
      </c>
      <c r="L157" s="10" t="n"/>
      <c r="M157" s="11" t="n"/>
      <c r="N157" s="10" t="n">
        <v>0</v>
      </c>
      <c r="O157" s="11" t="n"/>
      <c r="P157" s="10" t="n">
        <v>6</v>
      </c>
    </row>
    <row r="158">
      <c r="A158" s="10" t="inlineStr">
        <is>
          <t>V-154</t>
        </is>
      </c>
      <c r="B158" s="10" t="n"/>
      <c r="C158" s="10" t="n"/>
      <c r="D158" s="10" t="n"/>
      <c r="E158" s="10" t="n"/>
      <c r="F158" s="10" t="n"/>
      <c r="G158" s="11" t="n"/>
      <c r="H158" s="11">
        <f>IF(OR(G158="",E158="Done"),"",G158+IFERROR(VLOOKUP(E158,Lists!$A$2:$B$6,2,FALSE),0))</f>
        <v/>
      </c>
      <c r="I158" s="10">
        <f>IF(OR(E158="",E158="Done",G158=""),"",$B$2-G158)</f>
        <v/>
      </c>
      <c r="J158" s="10">
        <f>IF(OR(E158="",E158="Done",H158=""),"",MAX(0,$B$2-H158))</f>
        <v/>
      </c>
      <c r="K158" s="10" t="inlineStr">
        <is>
          <t>Not started</t>
        </is>
      </c>
      <c r="L158" s="10" t="n"/>
      <c r="M158" s="11" t="n"/>
      <c r="N158" s="10" t="n">
        <v>0</v>
      </c>
      <c r="O158" s="11" t="n"/>
      <c r="P158" s="10" t="n">
        <v>6</v>
      </c>
    </row>
    <row r="159">
      <c r="A159" s="10" t="inlineStr">
        <is>
          <t>V-155</t>
        </is>
      </c>
      <c r="B159" s="10" t="n"/>
      <c r="C159" s="10" t="n"/>
      <c r="D159" s="10" t="n"/>
      <c r="E159" s="10" t="n"/>
      <c r="F159" s="10" t="n"/>
      <c r="G159" s="11" t="n"/>
      <c r="H159" s="11">
        <f>IF(OR(G159="",E159="Done"),"",G159+IFERROR(VLOOKUP(E159,Lists!$A$2:$B$6,2,FALSE),0))</f>
        <v/>
      </c>
      <c r="I159" s="10">
        <f>IF(OR(E159="",E159="Done",G159=""),"",$B$2-G159)</f>
        <v/>
      </c>
      <c r="J159" s="10">
        <f>IF(OR(E159="",E159="Done",H159=""),"",MAX(0,$B$2-H159))</f>
        <v/>
      </c>
      <c r="K159" s="10" t="inlineStr">
        <is>
          <t>Not started</t>
        </is>
      </c>
      <c r="L159" s="10" t="n"/>
      <c r="M159" s="11" t="n"/>
      <c r="N159" s="10" t="n">
        <v>0</v>
      </c>
      <c r="O159" s="11" t="n"/>
      <c r="P159" s="10" t="n">
        <v>6</v>
      </c>
    </row>
    <row r="160">
      <c r="A160" s="10" t="inlineStr">
        <is>
          <t>V-156</t>
        </is>
      </c>
      <c r="B160" s="10" t="n"/>
      <c r="C160" s="10" t="n"/>
      <c r="D160" s="10" t="n"/>
      <c r="E160" s="10" t="n"/>
      <c r="F160" s="10" t="n"/>
      <c r="G160" s="11" t="n"/>
      <c r="H160" s="11">
        <f>IF(OR(G160="",E160="Done"),"",G160+IFERROR(VLOOKUP(E160,Lists!$A$2:$B$6,2,FALSE),0))</f>
        <v/>
      </c>
      <c r="I160" s="10">
        <f>IF(OR(E160="",E160="Done",G160=""),"",$B$2-G160)</f>
        <v/>
      </c>
      <c r="J160" s="10">
        <f>IF(OR(E160="",E160="Done",H160=""),"",MAX(0,$B$2-H160))</f>
        <v/>
      </c>
      <c r="K160" s="10" t="inlineStr">
        <is>
          <t>Not started</t>
        </is>
      </c>
      <c r="L160" s="10" t="n"/>
      <c r="M160" s="11" t="n"/>
      <c r="N160" s="10" t="n">
        <v>0</v>
      </c>
      <c r="O160" s="11" t="n"/>
      <c r="P160" s="10" t="n">
        <v>6</v>
      </c>
    </row>
    <row r="161">
      <c r="A161" s="10" t="inlineStr">
        <is>
          <t>V-157</t>
        </is>
      </c>
      <c r="B161" s="10" t="n"/>
      <c r="C161" s="10" t="n"/>
      <c r="D161" s="10" t="n"/>
      <c r="E161" s="10" t="n"/>
      <c r="F161" s="10" t="n"/>
      <c r="G161" s="11" t="n"/>
      <c r="H161" s="11">
        <f>IF(OR(G161="",E161="Done"),"",G161+IFERROR(VLOOKUP(E161,Lists!$A$2:$B$6,2,FALSE),0))</f>
        <v/>
      </c>
      <c r="I161" s="10">
        <f>IF(OR(E161="",E161="Done",G161=""),"",$B$2-G161)</f>
        <v/>
      </c>
      <c r="J161" s="10">
        <f>IF(OR(E161="",E161="Done",H161=""),"",MAX(0,$B$2-H161))</f>
        <v/>
      </c>
      <c r="K161" s="10" t="inlineStr">
        <is>
          <t>Not started</t>
        </is>
      </c>
      <c r="L161" s="10" t="n"/>
      <c r="M161" s="11" t="n"/>
      <c r="N161" s="10" t="n">
        <v>0</v>
      </c>
      <c r="O161" s="11" t="n"/>
      <c r="P161" s="10" t="n">
        <v>6</v>
      </c>
    </row>
    <row r="162">
      <c r="A162" s="10" t="inlineStr">
        <is>
          <t>V-158</t>
        </is>
      </c>
      <c r="B162" s="10" t="n"/>
      <c r="C162" s="10" t="n"/>
      <c r="D162" s="10" t="n"/>
      <c r="E162" s="10" t="n"/>
      <c r="F162" s="10" t="n"/>
      <c r="G162" s="11" t="n"/>
      <c r="H162" s="11">
        <f>IF(OR(G162="",E162="Done"),"",G162+IFERROR(VLOOKUP(E162,Lists!$A$2:$B$6,2,FALSE),0))</f>
        <v/>
      </c>
      <c r="I162" s="10">
        <f>IF(OR(E162="",E162="Done",G162=""),"",$B$2-G162)</f>
        <v/>
      </c>
      <c r="J162" s="10">
        <f>IF(OR(E162="",E162="Done",H162=""),"",MAX(0,$B$2-H162))</f>
        <v/>
      </c>
      <c r="K162" s="10" t="inlineStr">
        <is>
          <t>Not started</t>
        </is>
      </c>
      <c r="L162" s="10" t="n"/>
      <c r="M162" s="11" t="n"/>
      <c r="N162" s="10" t="n">
        <v>0</v>
      </c>
      <c r="O162" s="11" t="n"/>
      <c r="P162" s="10" t="n">
        <v>6</v>
      </c>
    </row>
    <row r="163">
      <c r="A163" s="10" t="inlineStr">
        <is>
          <t>V-159</t>
        </is>
      </c>
      <c r="B163" s="10" t="n"/>
      <c r="C163" s="10" t="n"/>
      <c r="D163" s="10" t="n"/>
      <c r="E163" s="10" t="n"/>
      <c r="F163" s="10" t="n"/>
      <c r="G163" s="11" t="n"/>
      <c r="H163" s="11">
        <f>IF(OR(G163="",E163="Done"),"",G163+IFERROR(VLOOKUP(E163,Lists!$A$2:$B$6,2,FALSE),0))</f>
        <v/>
      </c>
      <c r="I163" s="10">
        <f>IF(OR(E163="",E163="Done",G163=""),"",$B$2-G163)</f>
        <v/>
      </c>
      <c r="J163" s="10">
        <f>IF(OR(E163="",E163="Done",H163=""),"",MAX(0,$B$2-H163))</f>
        <v/>
      </c>
      <c r="K163" s="10" t="inlineStr">
        <is>
          <t>Not started</t>
        </is>
      </c>
      <c r="L163" s="10" t="n"/>
      <c r="M163" s="11" t="n"/>
      <c r="N163" s="10" t="n">
        <v>0</v>
      </c>
      <c r="O163" s="11" t="n"/>
      <c r="P163" s="10" t="n">
        <v>6</v>
      </c>
    </row>
    <row r="164">
      <c r="A164" s="10" t="inlineStr">
        <is>
          <t>V-160</t>
        </is>
      </c>
      <c r="B164" s="10" t="n"/>
      <c r="C164" s="10" t="n"/>
      <c r="D164" s="10" t="n"/>
      <c r="E164" s="10" t="n"/>
      <c r="F164" s="10" t="n"/>
      <c r="G164" s="11" t="n"/>
      <c r="H164" s="11">
        <f>IF(OR(G164="",E164="Done"),"",G164+IFERROR(VLOOKUP(E164,Lists!$A$2:$B$6,2,FALSE),0))</f>
        <v/>
      </c>
      <c r="I164" s="10">
        <f>IF(OR(E164="",E164="Done",G164=""),"",$B$2-G164)</f>
        <v/>
      </c>
      <c r="J164" s="10">
        <f>IF(OR(E164="",E164="Done",H164=""),"",MAX(0,$B$2-H164))</f>
        <v/>
      </c>
      <c r="K164" s="10" t="inlineStr">
        <is>
          <t>Not started</t>
        </is>
      </c>
      <c r="L164" s="10" t="n"/>
      <c r="M164" s="11" t="n"/>
      <c r="N164" s="10" t="n">
        <v>0</v>
      </c>
      <c r="O164" s="11" t="n"/>
      <c r="P164" s="10" t="n">
        <v>6</v>
      </c>
    </row>
    <row r="165">
      <c r="A165" s="10" t="inlineStr">
        <is>
          <t>V-161</t>
        </is>
      </c>
      <c r="B165" s="10" t="n"/>
      <c r="C165" s="10" t="n"/>
      <c r="D165" s="10" t="n"/>
      <c r="E165" s="10" t="n"/>
      <c r="F165" s="10" t="n"/>
      <c r="G165" s="11" t="n"/>
      <c r="H165" s="11">
        <f>IF(OR(G165="",E165="Done"),"",G165+IFERROR(VLOOKUP(E165,Lists!$A$2:$B$6,2,FALSE),0))</f>
        <v/>
      </c>
      <c r="I165" s="10">
        <f>IF(OR(E165="",E165="Done",G165=""),"",$B$2-G165)</f>
        <v/>
      </c>
      <c r="J165" s="10">
        <f>IF(OR(E165="",E165="Done",H165=""),"",MAX(0,$B$2-H165))</f>
        <v/>
      </c>
      <c r="K165" s="10" t="inlineStr">
        <is>
          <t>Not started</t>
        </is>
      </c>
      <c r="L165" s="10" t="n"/>
      <c r="M165" s="11" t="n"/>
      <c r="N165" s="10" t="n">
        <v>0</v>
      </c>
      <c r="O165" s="11" t="n"/>
      <c r="P165" s="10" t="n">
        <v>6</v>
      </c>
    </row>
    <row r="166">
      <c r="A166" s="10" t="inlineStr">
        <is>
          <t>V-162</t>
        </is>
      </c>
      <c r="B166" s="10" t="n"/>
      <c r="C166" s="10" t="n"/>
      <c r="D166" s="10" t="n"/>
      <c r="E166" s="10" t="n"/>
      <c r="F166" s="10" t="n"/>
      <c r="G166" s="11" t="n"/>
      <c r="H166" s="11">
        <f>IF(OR(G166="",E166="Done"),"",G166+IFERROR(VLOOKUP(E166,Lists!$A$2:$B$6,2,FALSE),0))</f>
        <v/>
      </c>
      <c r="I166" s="10">
        <f>IF(OR(E166="",E166="Done",G166=""),"",$B$2-G166)</f>
        <v/>
      </c>
      <c r="J166" s="10">
        <f>IF(OR(E166="",E166="Done",H166=""),"",MAX(0,$B$2-H166))</f>
        <v/>
      </c>
      <c r="K166" s="10" t="inlineStr">
        <is>
          <t>Not started</t>
        </is>
      </c>
      <c r="L166" s="10" t="n"/>
      <c r="M166" s="11" t="n"/>
      <c r="N166" s="10" t="n">
        <v>0</v>
      </c>
      <c r="O166" s="11" t="n"/>
      <c r="P166" s="10" t="n">
        <v>6</v>
      </c>
    </row>
    <row r="167">
      <c r="A167" s="10" t="inlineStr">
        <is>
          <t>V-163</t>
        </is>
      </c>
      <c r="B167" s="10" t="n"/>
      <c r="C167" s="10" t="n"/>
      <c r="D167" s="10" t="n"/>
      <c r="E167" s="10" t="n"/>
      <c r="F167" s="10" t="n"/>
      <c r="G167" s="11" t="n"/>
      <c r="H167" s="11">
        <f>IF(OR(G167="",E167="Done"),"",G167+IFERROR(VLOOKUP(E167,Lists!$A$2:$B$6,2,FALSE),0))</f>
        <v/>
      </c>
      <c r="I167" s="10">
        <f>IF(OR(E167="",E167="Done",G167=""),"",$B$2-G167)</f>
        <v/>
      </c>
      <c r="J167" s="10">
        <f>IF(OR(E167="",E167="Done",H167=""),"",MAX(0,$B$2-H167))</f>
        <v/>
      </c>
      <c r="K167" s="10" t="inlineStr">
        <is>
          <t>Not started</t>
        </is>
      </c>
      <c r="L167" s="10" t="n"/>
      <c r="M167" s="11" t="n"/>
      <c r="N167" s="10" t="n">
        <v>0</v>
      </c>
      <c r="O167" s="11" t="n"/>
      <c r="P167" s="10" t="n">
        <v>6</v>
      </c>
    </row>
    <row r="168">
      <c r="A168" s="10" t="inlineStr">
        <is>
          <t>V-164</t>
        </is>
      </c>
      <c r="B168" s="10" t="n"/>
      <c r="C168" s="10" t="n"/>
      <c r="D168" s="10" t="n"/>
      <c r="E168" s="10" t="n"/>
      <c r="F168" s="10" t="n"/>
      <c r="G168" s="11" t="n"/>
      <c r="H168" s="11">
        <f>IF(OR(G168="",E168="Done"),"",G168+IFERROR(VLOOKUP(E168,Lists!$A$2:$B$6,2,FALSE),0))</f>
        <v/>
      </c>
      <c r="I168" s="10">
        <f>IF(OR(E168="",E168="Done",G168=""),"",$B$2-G168)</f>
        <v/>
      </c>
      <c r="J168" s="10">
        <f>IF(OR(E168="",E168="Done",H168=""),"",MAX(0,$B$2-H168))</f>
        <v/>
      </c>
      <c r="K168" s="10" t="inlineStr">
        <is>
          <t>Not started</t>
        </is>
      </c>
      <c r="L168" s="10" t="n"/>
      <c r="M168" s="11" t="n"/>
      <c r="N168" s="10" t="n">
        <v>0</v>
      </c>
      <c r="O168" s="11" t="n"/>
      <c r="P168" s="10" t="n">
        <v>6</v>
      </c>
    </row>
    <row r="169">
      <c r="A169" s="10" t="inlineStr">
        <is>
          <t>V-165</t>
        </is>
      </c>
      <c r="B169" s="10" t="n"/>
      <c r="C169" s="10" t="n"/>
      <c r="D169" s="10" t="n"/>
      <c r="E169" s="10" t="n"/>
      <c r="F169" s="10" t="n"/>
      <c r="G169" s="11" t="n"/>
      <c r="H169" s="11">
        <f>IF(OR(G169="",E169="Done"),"",G169+IFERROR(VLOOKUP(E169,Lists!$A$2:$B$6,2,FALSE),0))</f>
        <v/>
      </c>
      <c r="I169" s="10">
        <f>IF(OR(E169="",E169="Done",G169=""),"",$B$2-G169)</f>
        <v/>
      </c>
      <c r="J169" s="10">
        <f>IF(OR(E169="",E169="Done",H169=""),"",MAX(0,$B$2-H169))</f>
        <v/>
      </c>
      <c r="K169" s="10" t="inlineStr">
        <is>
          <t>Not started</t>
        </is>
      </c>
      <c r="L169" s="10" t="n"/>
      <c r="M169" s="11" t="n"/>
      <c r="N169" s="10" t="n">
        <v>0</v>
      </c>
      <c r="O169" s="11" t="n"/>
      <c r="P169" s="10" t="n">
        <v>6</v>
      </c>
    </row>
    <row r="170">
      <c r="A170" s="10" t="inlineStr">
        <is>
          <t>V-166</t>
        </is>
      </c>
      <c r="B170" s="10" t="n"/>
      <c r="C170" s="10" t="n"/>
      <c r="D170" s="10" t="n"/>
      <c r="E170" s="10" t="n"/>
      <c r="F170" s="10" t="n"/>
      <c r="G170" s="11" t="n"/>
      <c r="H170" s="11">
        <f>IF(OR(G170="",E170="Done"),"",G170+IFERROR(VLOOKUP(E170,Lists!$A$2:$B$6,2,FALSE),0))</f>
        <v/>
      </c>
      <c r="I170" s="10">
        <f>IF(OR(E170="",E170="Done",G170=""),"",$B$2-G170)</f>
        <v/>
      </c>
      <c r="J170" s="10">
        <f>IF(OR(E170="",E170="Done",H170=""),"",MAX(0,$B$2-H170))</f>
        <v/>
      </c>
      <c r="K170" s="10" t="inlineStr">
        <is>
          <t>Not started</t>
        </is>
      </c>
      <c r="L170" s="10" t="n"/>
      <c r="M170" s="11" t="n"/>
      <c r="N170" s="10" t="n">
        <v>0</v>
      </c>
      <c r="O170" s="11" t="n"/>
      <c r="P170" s="10" t="n">
        <v>6</v>
      </c>
    </row>
    <row r="171">
      <c r="A171" s="10" t="inlineStr">
        <is>
          <t>V-167</t>
        </is>
      </c>
      <c r="B171" s="10" t="n"/>
      <c r="C171" s="10" t="n"/>
      <c r="D171" s="10" t="n"/>
      <c r="E171" s="10" t="n"/>
      <c r="F171" s="10" t="n"/>
      <c r="G171" s="11" t="n"/>
      <c r="H171" s="11">
        <f>IF(OR(G171="",E171="Done"),"",G171+IFERROR(VLOOKUP(E171,Lists!$A$2:$B$6,2,FALSE),0))</f>
        <v/>
      </c>
      <c r="I171" s="10">
        <f>IF(OR(E171="",E171="Done",G171=""),"",$B$2-G171)</f>
        <v/>
      </c>
      <c r="J171" s="10">
        <f>IF(OR(E171="",E171="Done",H171=""),"",MAX(0,$B$2-H171))</f>
        <v/>
      </c>
      <c r="K171" s="10" t="inlineStr">
        <is>
          <t>Not started</t>
        </is>
      </c>
      <c r="L171" s="10" t="n"/>
      <c r="M171" s="11" t="n"/>
      <c r="N171" s="10" t="n">
        <v>0</v>
      </c>
      <c r="O171" s="11" t="n"/>
      <c r="P171" s="10" t="n">
        <v>6</v>
      </c>
    </row>
    <row r="172">
      <c r="A172" s="10" t="inlineStr">
        <is>
          <t>V-168</t>
        </is>
      </c>
      <c r="B172" s="10" t="n"/>
      <c r="C172" s="10" t="n"/>
      <c r="D172" s="10" t="n"/>
      <c r="E172" s="10" t="n"/>
      <c r="F172" s="10" t="n"/>
      <c r="G172" s="11" t="n"/>
      <c r="H172" s="11">
        <f>IF(OR(G172="",E172="Done"),"",G172+IFERROR(VLOOKUP(E172,Lists!$A$2:$B$6,2,FALSE),0))</f>
        <v/>
      </c>
      <c r="I172" s="10">
        <f>IF(OR(E172="",E172="Done",G172=""),"",$B$2-G172)</f>
        <v/>
      </c>
      <c r="J172" s="10">
        <f>IF(OR(E172="",E172="Done",H172=""),"",MAX(0,$B$2-H172))</f>
        <v/>
      </c>
      <c r="K172" s="10" t="inlineStr">
        <is>
          <t>Not started</t>
        </is>
      </c>
      <c r="L172" s="10" t="n"/>
      <c r="M172" s="11" t="n"/>
      <c r="N172" s="10" t="n">
        <v>0</v>
      </c>
      <c r="O172" s="11" t="n"/>
      <c r="P172" s="10" t="n">
        <v>6</v>
      </c>
    </row>
    <row r="173">
      <c r="A173" s="10" t="inlineStr">
        <is>
          <t>V-169</t>
        </is>
      </c>
      <c r="B173" s="10" t="n"/>
      <c r="C173" s="10" t="n"/>
      <c r="D173" s="10" t="n"/>
      <c r="E173" s="10" t="n"/>
      <c r="F173" s="10" t="n"/>
      <c r="G173" s="11" t="n"/>
      <c r="H173" s="11">
        <f>IF(OR(G173="",E173="Done"),"",G173+IFERROR(VLOOKUP(E173,Lists!$A$2:$B$6,2,FALSE),0))</f>
        <v/>
      </c>
      <c r="I173" s="10">
        <f>IF(OR(E173="",E173="Done",G173=""),"",$B$2-G173)</f>
        <v/>
      </c>
      <c r="J173" s="10">
        <f>IF(OR(E173="",E173="Done",H173=""),"",MAX(0,$B$2-H173))</f>
        <v/>
      </c>
      <c r="K173" s="10" t="inlineStr">
        <is>
          <t>Not started</t>
        </is>
      </c>
      <c r="L173" s="10" t="n"/>
      <c r="M173" s="11" t="n"/>
      <c r="N173" s="10" t="n">
        <v>0</v>
      </c>
      <c r="O173" s="11" t="n"/>
      <c r="P173" s="10" t="n">
        <v>6</v>
      </c>
    </row>
    <row r="174">
      <c r="A174" s="10" t="inlineStr">
        <is>
          <t>V-170</t>
        </is>
      </c>
      <c r="B174" s="10" t="n"/>
      <c r="C174" s="10" t="n"/>
      <c r="D174" s="10" t="n"/>
      <c r="E174" s="10" t="n"/>
      <c r="F174" s="10" t="n"/>
      <c r="G174" s="11" t="n"/>
      <c r="H174" s="11">
        <f>IF(OR(G174="",E174="Done"),"",G174+IFERROR(VLOOKUP(E174,Lists!$A$2:$B$6,2,FALSE),0))</f>
        <v/>
      </c>
      <c r="I174" s="10">
        <f>IF(OR(E174="",E174="Done",G174=""),"",$B$2-G174)</f>
        <v/>
      </c>
      <c r="J174" s="10">
        <f>IF(OR(E174="",E174="Done",H174=""),"",MAX(0,$B$2-H174))</f>
        <v/>
      </c>
      <c r="K174" s="10" t="inlineStr">
        <is>
          <t>Not started</t>
        </is>
      </c>
      <c r="L174" s="10" t="n"/>
      <c r="M174" s="11" t="n"/>
      <c r="N174" s="10" t="n">
        <v>0</v>
      </c>
      <c r="O174" s="11" t="n"/>
      <c r="P174" s="10" t="n">
        <v>6</v>
      </c>
    </row>
    <row r="175">
      <c r="A175" s="10" t="inlineStr">
        <is>
          <t>V-171</t>
        </is>
      </c>
      <c r="B175" s="10" t="n"/>
      <c r="C175" s="10" t="n"/>
      <c r="D175" s="10" t="n"/>
      <c r="E175" s="10" t="n"/>
      <c r="F175" s="10" t="n"/>
      <c r="G175" s="11" t="n"/>
      <c r="H175" s="11">
        <f>IF(OR(G175="",E175="Done"),"",G175+IFERROR(VLOOKUP(E175,Lists!$A$2:$B$6,2,FALSE),0))</f>
        <v/>
      </c>
      <c r="I175" s="10">
        <f>IF(OR(E175="",E175="Done",G175=""),"",$B$2-G175)</f>
        <v/>
      </c>
      <c r="J175" s="10">
        <f>IF(OR(E175="",E175="Done",H175=""),"",MAX(0,$B$2-H175))</f>
        <v/>
      </c>
      <c r="K175" s="10" t="inlineStr">
        <is>
          <t>Not started</t>
        </is>
      </c>
      <c r="L175" s="10" t="n"/>
      <c r="M175" s="11" t="n"/>
      <c r="N175" s="10" t="n">
        <v>0</v>
      </c>
      <c r="O175" s="11" t="n"/>
      <c r="P175" s="10" t="n">
        <v>6</v>
      </c>
    </row>
    <row r="176">
      <c r="A176" s="10" t="inlineStr">
        <is>
          <t>V-172</t>
        </is>
      </c>
      <c r="B176" s="10" t="n"/>
      <c r="C176" s="10" t="n"/>
      <c r="D176" s="10" t="n"/>
      <c r="E176" s="10" t="n"/>
      <c r="F176" s="10" t="n"/>
      <c r="G176" s="11" t="n"/>
      <c r="H176" s="11">
        <f>IF(OR(G176="",E176="Done"),"",G176+IFERROR(VLOOKUP(E176,Lists!$A$2:$B$6,2,FALSE),0))</f>
        <v/>
      </c>
      <c r="I176" s="10">
        <f>IF(OR(E176="",E176="Done",G176=""),"",$B$2-G176)</f>
        <v/>
      </c>
      <c r="J176" s="10">
        <f>IF(OR(E176="",E176="Done",H176=""),"",MAX(0,$B$2-H176))</f>
        <v/>
      </c>
      <c r="K176" s="10" t="inlineStr">
        <is>
          <t>Not started</t>
        </is>
      </c>
      <c r="L176" s="10" t="n"/>
      <c r="M176" s="11" t="n"/>
      <c r="N176" s="10" t="n">
        <v>0</v>
      </c>
      <c r="O176" s="11" t="n"/>
      <c r="P176" s="10" t="n">
        <v>6</v>
      </c>
    </row>
    <row r="177">
      <c r="A177" s="10" t="inlineStr">
        <is>
          <t>V-173</t>
        </is>
      </c>
      <c r="B177" s="10" t="n"/>
      <c r="C177" s="10" t="n"/>
      <c r="D177" s="10" t="n"/>
      <c r="E177" s="10" t="n"/>
      <c r="F177" s="10" t="n"/>
      <c r="G177" s="11" t="n"/>
      <c r="H177" s="11">
        <f>IF(OR(G177="",E177="Done"),"",G177+IFERROR(VLOOKUP(E177,Lists!$A$2:$B$6,2,FALSE),0))</f>
        <v/>
      </c>
      <c r="I177" s="10">
        <f>IF(OR(E177="",E177="Done",G177=""),"",$B$2-G177)</f>
        <v/>
      </c>
      <c r="J177" s="10">
        <f>IF(OR(E177="",E177="Done",H177=""),"",MAX(0,$B$2-H177))</f>
        <v/>
      </c>
      <c r="K177" s="10" t="inlineStr">
        <is>
          <t>Not started</t>
        </is>
      </c>
      <c r="L177" s="10" t="n"/>
      <c r="M177" s="11" t="n"/>
      <c r="N177" s="10" t="n">
        <v>0</v>
      </c>
      <c r="O177" s="11" t="n"/>
      <c r="P177" s="10" t="n">
        <v>6</v>
      </c>
    </row>
    <row r="178">
      <c r="A178" s="10" t="inlineStr">
        <is>
          <t>V-174</t>
        </is>
      </c>
      <c r="B178" s="10" t="n"/>
      <c r="C178" s="10" t="n"/>
      <c r="D178" s="10" t="n"/>
      <c r="E178" s="10" t="n"/>
      <c r="F178" s="10" t="n"/>
      <c r="G178" s="11" t="n"/>
      <c r="H178" s="11">
        <f>IF(OR(G178="",E178="Done"),"",G178+IFERROR(VLOOKUP(E178,Lists!$A$2:$B$6,2,FALSE),0))</f>
        <v/>
      </c>
      <c r="I178" s="10">
        <f>IF(OR(E178="",E178="Done",G178=""),"",$B$2-G178)</f>
        <v/>
      </c>
      <c r="J178" s="10">
        <f>IF(OR(E178="",E178="Done",H178=""),"",MAX(0,$B$2-H178))</f>
        <v/>
      </c>
      <c r="K178" s="10" t="inlineStr">
        <is>
          <t>Not started</t>
        </is>
      </c>
      <c r="L178" s="10" t="n"/>
      <c r="M178" s="11" t="n"/>
      <c r="N178" s="10" t="n">
        <v>0</v>
      </c>
      <c r="O178" s="11" t="n"/>
      <c r="P178" s="10" t="n">
        <v>6</v>
      </c>
    </row>
    <row r="179">
      <c r="A179" s="10" t="inlineStr">
        <is>
          <t>V-175</t>
        </is>
      </c>
      <c r="B179" s="10" t="n"/>
      <c r="C179" s="10" t="n"/>
      <c r="D179" s="10" t="n"/>
      <c r="E179" s="10" t="n"/>
      <c r="F179" s="10" t="n"/>
      <c r="G179" s="11" t="n"/>
      <c r="H179" s="11">
        <f>IF(OR(G179="",E179="Done"),"",G179+IFERROR(VLOOKUP(E179,Lists!$A$2:$B$6,2,FALSE),0))</f>
        <v/>
      </c>
      <c r="I179" s="10">
        <f>IF(OR(E179="",E179="Done",G179=""),"",$B$2-G179)</f>
        <v/>
      </c>
      <c r="J179" s="10">
        <f>IF(OR(E179="",E179="Done",H179=""),"",MAX(0,$B$2-H179))</f>
        <v/>
      </c>
      <c r="K179" s="10" t="inlineStr">
        <is>
          <t>Not started</t>
        </is>
      </c>
      <c r="L179" s="10" t="n"/>
      <c r="M179" s="11" t="n"/>
      <c r="N179" s="10" t="n">
        <v>0</v>
      </c>
      <c r="O179" s="11" t="n"/>
      <c r="P179" s="10" t="n">
        <v>6</v>
      </c>
    </row>
    <row r="180">
      <c r="A180" s="10" t="inlineStr">
        <is>
          <t>V-176</t>
        </is>
      </c>
      <c r="B180" s="10" t="n"/>
      <c r="C180" s="10" t="n"/>
      <c r="D180" s="10" t="n"/>
      <c r="E180" s="10" t="n"/>
      <c r="F180" s="10" t="n"/>
      <c r="G180" s="11" t="n"/>
      <c r="H180" s="11">
        <f>IF(OR(G180="",E180="Done"),"",G180+IFERROR(VLOOKUP(E180,Lists!$A$2:$B$6,2,FALSE),0))</f>
        <v/>
      </c>
      <c r="I180" s="10">
        <f>IF(OR(E180="",E180="Done",G180=""),"",$B$2-G180)</f>
        <v/>
      </c>
      <c r="J180" s="10">
        <f>IF(OR(E180="",E180="Done",H180=""),"",MAX(0,$B$2-H180))</f>
        <v/>
      </c>
      <c r="K180" s="10" t="inlineStr">
        <is>
          <t>Not started</t>
        </is>
      </c>
      <c r="L180" s="10" t="n"/>
      <c r="M180" s="11" t="n"/>
      <c r="N180" s="10" t="n">
        <v>0</v>
      </c>
      <c r="O180" s="11" t="n"/>
      <c r="P180" s="10" t="n">
        <v>6</v>
      </c>
    </row>
    <row r="181">
      <c r="A181" s="10" t="inlineStr">
        <is>
          <t>V-177</t>
        </is>
      </c>
      <c r="B181" s="10" t="n"/>
      <c r="C181" s="10" t="n"/>
      <c r="D181" s="10" t="n"/>
      <c r="E181" s="10" t="n"/>
      <c r="F181" s="10" t="n"/>
      <c r="G181" s="11" t="n"/>
      <c r="H181" s="11">
        <f>IF(OR(G181="",E181="Done"),"",G181+IFERROR(VLOOKUP(E181,Lists!$A$2:$B$6,2,FALSE),0))</f>
        <v/>
      </c>
      <c r="I181" s="10">
        <f>IF(OR(E181="",E181="Done",G181=""),"",$B$2-G181)</f>
        <v/>
      </c>
      <c r="J181" s="10">
        <f>IF(OR(E181="",E181="Done",H181=""),"",MAX(0,$B$2-H181))</f>
        <v/>
      </c>
      <c r="K181" s="10" t="inlineStr">
        <is>
          <t>Not started</t>
        </is>
      </c>
      <c r="L181" s="10" t="n"/>
      <c r="M181" s="11" t="n"/>
      <c r="N181" s="10" t="n">
        <v>0</v>
      </c>
      <c r="O181" s="11" t="n"/>
      <c r="P181" s="10" t="n">
        <v>6</v>
      </c>
    </row>
    <row r="182">
      <c r="A182" s="10" t="inlineStr">
        <is>
          <t>V-178</t>
        </is>
      </c>
      <c r="B182" s="10" t="n"/>
      <c r="C182" s="10" t="n"/>
      <c r="D182" s="10" t="n"/>
      <c r="E182" s="10" t="n"/>
      <c r="F182" s="10" t="n"/>
      <c r="G182" s="11" t="n"/>
      <c r="H182" s="11">
        <f>IF(OR(G182="",E182="Done"),"",G182+IFERROR(VLOOKUP(E182,Lists!$A$2:$B$6,2,FALSE),0))</f>
        <v/>
      </c>
      <c r="I182" s="10">
        <f>IF(OR(E182="",E182="Done",G182=""),"",$B$2-G182)</f>
        <v/>
      </c>
      <c r="J182" s="10">
        <f>IF(OR(E182="",E182="Done",H182=""),"",MAX(0,$B$2-H182))</f>
        <v/>
      </c>
      <c r="K182" s="10" t="inlineStr">
        <is>
          <t>Not started</t>
        </is>
      </c>
      <c r="L182" s="10" t="n"/>
      <c r="M182" s="11" t="n"/>
      <c r="N182" s="10" t="n">
        <v>0</v>
      </c>
      <c r="O182" s="11" t="n"/>
      <c r="P182" s="10" t="n">
        <v>6</v>
      </c>
    </row>
    <row r="183">
      <c r="A183" s="10" t="inlineStr">
        <is>
          <t>V-179</t>
        </is>
      </c>
      <c r="B183" s="10" t="n"/>
      <c r="C183" s="10" t="n"/>
      <c r="D183" s="10" t="n"/>
      <c r="E183" s="10" t="n"/>
      <c r="F183" s="10" t="n"/>
      <c r="G183" s="11" t="n"/>
      <c r="H183" s="11">
        <f>IF(OR(G183="",E183="Done"),"",G183+IFERROR(VLOOKUP(E183,Lists!$A$2:$B$6,2,FALSE),0))</f>
        <v/>
      </c>
      <c r="I183" s="10">
        <f>IF(OR(E183="",E183="Done",G183=""),"",$B$2-G183)</f>
        <v/>
      </c>
      <c r="J183" s="10">
        <f>IF(OR(E183="",E183="Done",H183=""),"",MAX(0,$B$2-H183))</f>
        <v/>
      </c>
      <c r="K183" s="10" t="inlineStr">
        <is>
          <t>Not started</t>
        </is>
      </c>
      <c r="L183" s="10" t="n"/>
      <c r="M183" s="11" t="n"/>
      <c r="N183" s="10" t="n">
        <v>0</v>
      </c>
      <c r="O183" s="11" t="n"/>
      <c r="P183" s="10" t="n">
        <v>6</v>
      </c>
    </row>
    <row r="184">
      <c r="A184" s="10" t="inlineStr">
        <is>
          <t>V-180</t>
        </is>
      </c>
      <c r="B184" s="10" t="n"/>
      <c r="C184" s="10" t="n"/>
      <c r="D184" s="10" t="n"/>
      <c r="E184" s="10" t="n"/>
      <c r="F184" s="10" t="n"/>
      <c r="G184" s="11" t="n"/>
      <c r="H184" s="11">
        <f>IF(OR(G184="",E184="Done"),"",G184+IFERROR(VLOOKUP(E184,Lists!$A$2:$B$6,2,FALSE),0))</f>
        <v/>
      </c>
      <c r="I184" s="10">
        <f>IF(OR(E184="",E184="Done",G184=""),"",$B$2-G184)</f>
        <v/>
      </c>
      <c r="J184" s="10">
        <f>IF(OR(E184="",E184="Done",H184=""),"",MAX(0,$B$2-H184))</f>
        <v/>
      </c>
      <c r="K184" s="10" t="inlineStr">
        <is>
          <t>Not started</t>
        </is>
      </c>
      <c r="L184" s="10" t="n"/>
      <c r="M184" s="11" t="n"/>
      <c r="N184" s="10" t="n">
        <v>0</v>
      </c>
      <c r="O184" s="11" t="n"/>
      <c r="P184" s="10" t="n">
        <v>6</v>
      </c>
    </row>
    <row r="185">
      <c r="A185" s="10" t="inlineStr">
        <is>
          <t>V-181</t>
        </is>
      </c>
      <c r="B185" s="10" t="n"/>
      <c r="C185" s="10" t="n"/>
      <c r="D185" s="10" t="n"/>
      <c r="E185" s="10" t="n"/>
      <c r="F185" s="10" t="n"/>
      <c r="G185" s="11" t="n"/>
      <c r="H185" s="11">
        <f>IF(OR(G185="",E185="Done"),"",G185+IFERROR(VLOOKUP(E185,Lists!$A$2:$B$6,2,FALSE),0))</f>
        <v/>
      </c>
      <c r="I185" s="10">
        <f>IF(OR(E185="",E185="Done",G185=""),"",$B$2-G185)</f>
        <v/>
      </c>
      <c r="J185" s="10">
        <f>IF(OR(E185="",E185="Done",H185=""),"",MAX(0,$B$2-H185))</f>
        <v/>
      </c>
      <c r="K185" s="10" t="inlineStr">
        <is>
          <t>Not started</t>
        </is>
      </c>
      <c r="L185" s="10" t="n"/>
      <c r="M185" s="11" t="n"/>
      <c r="N185" s="10" t="n">
        <v>0</v>
      </c>
      <c r="O185" s="11" t="n"/>
      <c r="P185" s="10" t="n">
        <v>7</v>
      </c>
    </row>
    <row r="186">
      <c r="A186" s="10" t="inlineStr">
        <is>
          <t>V-182</t>
        </is>
      </c>
      <c r="B186" s="10" t="n"/>
      <c r="C186" s="10" t="n"/>
      <c r="D186" s="10" t="n"/>
      <c r="E186" s="10" t="n"/>
      <c r="F186" s="10" t="n"/>
      <c r="G186" s="11" t="n"/>
      <c r="H186" s="11">
        <f>IF(OR(G186="",E186="Done"),"",G186+IFERROR(VLOOKUP(E186,Lists!$A$2:$B$6,2,FALSE),0))</f>
        <v/>
      </c>
      <c r="I186" s="10">
        <f>IF(OR(E186="",E186="Done",G186=""),"",$B$2-G186)</f>
        <v/>
      </c>
      <c r="J186" s="10">
        <f>IF(OR(E186="",E186="Done",H186=""),"",MAX(0,$B$2-H186))</f>
        <v/>
      </c>
      <c r="K186" s="10" t="inlineStr">
        <is>
          <t>Not started</t>
        </is>
      </c>
      <c r="L186" s="10" t="n"/>
      <c r="M186" s="11" t="n"/>
      <c r="N186" s="10" t="n">
        <v>0</v>
      </c>
      <c r="O186" s="11" t="n"/>
      <c r="P186" s="10" t="n">
        <v>7</v>
      </c>
    </row>
    <row r="187">
      <c r="A187" s="10" t="inlineStr">
        <is>
          <t>V-183</t>
        </is>
      </c>
      <c r="B187" s="10" t="n"/>
      <c r="C187" s="10" t="n"/>
      <c r="D187" s="10" t="n"/>
      <c r="E187" s="10" t="n"/>
      <c r="F187" s="10" t="n"/>
      <c r="G187" s="11" t="n"/>
      <c r="H187" s="11">
        <f>IF(OR(G187="",E187="Done"),"",G187+IFERROR(VLOOKUP(E187,Lists!$A$2:$B$6,2,FALSE),0))</f>
        <v/>
      </c>
      <c r="I187" s="10">
        <f>IF(OR(E187="",E187="Done",G187=""),"",$B$2-G187)</f>
        <v/>
      </c>
      <c r="J187" s="10">
        <f>IF(OR(E187="",E187="Done",H187=""),"",MAX(0,$B$2-H187))</f>
        <v/>
      </c>
      <c r="K187" s="10" t="inlineStr">
        <is>
          <t>Not started</t>
        </is>
      </c>
      <c r="L187" s="10" t="n"/>
      <c r="M187" s="11" t="n"/>
      <c r="N187" s="10" t="n">
        <v>0</v>
      </c>
      <c r="O187" s="11" t="n"/>
      <c r="P187" s="10" t="n">
        <v>7</v>
      </c>
    </row>
    <row r="188">
      <c r="A188" s="10" t="inlineStr">
        <is>
          <t>V-184</t>
        </is>
      </c>
      <c r="B188" s="10" t="n"/>
      <c r="C188" s="10" t="n"/>
      <c r="D188" s="10" t="n"/>
      <c r="E188" s="10" t="n"/>
      <c r="F188" s="10" t="n"/>
      <c r="G188" s="11" t="n"/>
      <c r="H188" s="11">
        <f>IF(OR(G188="",E188="Done"),"",G188+IFERROR(VLOOKUP(E188,Lists!$A$2:$B$6,2,FALSE),0))</f>
        <v/>
      </c>
      <c r="I188" s="10">
        <f>IF(OR(E188="",E188="Done",G188=""),"",$B$2-G188)</f>
        <v/>
      </c>
      <c r="J188" s="10">
        <f>IF(OR(E188="",E188="Done",H188=""),"",MAX(0,$B$2-H188))</f>
        <v/>
      </c>
      <c r="K188" s="10" t="inlineStr">
        <is>
          <t>Not started</t>
        </is>
      </c>
      <c r="L188" s="10" t="n"/>
      <c r="M188" s="11" t="n"/>
      <c r="N188" s="10" t="n">
        <v>0</v>
      </c>
      <c r="O188" s="11" t="n"/>
      <c r="P188" s="10" t="n">
        <v>7</v>
      </c>
    </row>
    <row r="189">
      <c r="A189" s="10" t="inlineStr">
        <is>
          <t>V-185</t>
        </is>
      </c>
      <c r="B189" s="10" t="n"/>
      <c r="C189" s="10" t="n"/>
      <c r="D189" s="10" t="n"/>
      <c r="E189" s="10" t="n"/>
      <c r="F189" s="10" t="n"/>
      <c r="G189" s="11" t="n"/>
      <c r="H189" s="11">
        <f>IF(OR(G189="",E189="Done"),"",G189+IFERROR(VLOOKUP(E189,Lists!$A$2:$B$6,2,FALSE),0))</f>
        <v/>
      </c>
      <c r="I189" s="10">
        <f>IF(OR(E189="",E189="Done",G189=""),"",$B$2-G189)</f>
        <v/>
      </c>
      <c r="J189" s="10">
        <f>IF(OR(E189="",E189="Done",H189=""),"",MAX(0,$B$2-H189))</f>
        <v/>
      </c>
      <c r="K189" s="10" t="inlineStr">
        <is>
          <t>Not started</t>
        </is>
      </c>
      <c r="L189" s="10" t="n"/>
      <c r="M189" s="11" t="n"/>
      <c r="N189" s="10" t="n">
        <v>0</v>
      </c>
      <c r="O189" s="11" t="n"/>
      <c r="P189" s="10" t="n">
        <v>7</v>
      </c>
    </row>
    <row r="190">
      <c r="A190" s="10" t="inlineStr">
        <is>
          <t>V-186</t>
        </is>
      </c>
      <c r="B190" s="10" t="n"/>
      <c r="C190" s="10" t="n"/>
      <c r="D190" s="10" t="n"/>
      <c r="E190" s="10" t="n"/>
      <c r="F190" s="10" t="n"/>
      <c r="G190" s="11" t="n"/>
      <c r="H190" s="11">
        <f>IF(OR(G190="",E190="Done"),"",G190+IFERROR(VLOOKUP(E190,Lists!$A$2:$B$6,2,FALSE),0))</f>
        <v/>
      </c>
      <c r="I190" s="10">
        <f>IF(OR(E190="",E190="Done",G190=""),"",$B$2-G190)</f>
        <v/>
      </c>
      <c r="J190" s="10">
        <f>IF(OR(E190="",E190="Done",H190=""),"",MAX(0,$B$2-H190))</f>
        <v/>
      </c>
      <c r="K190" s="10" t="inlineStr">
        <is>
          <t>Not started</t>
        </is>
      </c>
      <c r="L190" s="10" t="n"/>
      <c r="M190" s="11" t="n"/>
      <c r="N190" s="10" t="n">
        <v>0</v>
      </c>
      <c r="O190" s="11" t="n"/>
      <c r="P190" s="10" t="n">
        <v>7</v>
      </c>
    </row>
    <row r="191">
      <c r="A191" s="10" t="inlineStr">
        <is>
          <t>V-187</t>
        </is>
      </c>
      <c r="B191" s="10" t="n"/>
      <c r="C191" s="10" t="n"/>
      <c r="D191" s="10" t="n"/>
      <c r="E191" s="10" t="n"/>
      <c r="F191" s="10" t="n"/>
      <c r="G191" s="11" t="n"/>
      <c r="H191" s="11">
        <f>IF(OR(G191="",E191="Done"),"",G191+IFERROR(VLOOKUP(E191,Lists!$A$2:$B$6,2,FALSE),0))</f>
        <v/>
      </c>
      <c r="I191" s="10">
        <f>IF(OR(E191="",E191="Done",G191=""),"",$B$2-G191)</f>
        <v/>
      </c>
      <c r="J191" s="10">
        <f>IF(OR(E191="",E191="Done",H191=""),"",MAX(0,$B$2-H191))</f>
        <v/>
      </c>
      <c r="K191" s="10" t="inlineStr">
        <is>
          <t>Not started</t>
        </is>
      </c>
      <c r="L191" s="10" t="n"/>
      <c r="M191" s="11" t="n"/>
      <c r="N191" s="10" t="n">
        <v>0</v>
      </c>
      <c r="O191" s="11" t="n"/>
      <c r="P191" s="10" t="n">
        <v>7</v>
      </c>
    </row>
    <row r="192">
      <c r="A192" s="10" t="inlineStr">
        <is>
          <t>V-188</t>
        </is>
      </c>
      <c r="B192" s="10" t="n"/>
      <c r="C192" s="10" t="n"/>
      <c r="D192" s="10" t="n"/>
      <c r="E192" s="10" t="n"/>
      <c r="F192" s="10" t="n"/>
      <c r="G192" s="11" t="n"/>
      <c r="H192" s="11">
        <f>IF(OR(G192="",E192="Done"),"",G192+IFERROR(VLOOKUP(E192,Lists!$A$2:$B$6,2,FALSE),0))</f>
        <v/>
      </c>
      <c r="I192" s="10">
        <f>IF(OR(E192="",E192="Done",G192=""),"",$B$2-G192)</f>
        <v/>
      </c>
      <c r="J192" s="10">
        <f>IF(OR(E192="",E192="Done",H192=""),"",MAX(0,$B$2-H192))</f>
        <v/>
      </c>
      <c r="K192" s="10" t="inlineStr">
        <is>
          <t>Not started</t>
        </is>
      </c>
      <c r="L192" s="10" t="n"/>
      <c r="M192" s="11" t="n"/>
      <c r="N192" s="10" t="n">
        <v>0</v>
      </c>
      <c r="O192" s="11" t="n"/>
      <c r="P192" s="10" t="n">
        <v>7</v>
      </c>
    </row>
    <row r="193">
      <c r="A193" s="10" t="inlineStr">
        <is>
          <t>V-189</t>
        </is>
      </c>
      <c r="B193" s="10" t="n"/>
      <c r="C193" s="10" t="n"/>
      <c r="D193" s="10" t="n"/>
      <c r="E193" s="10" t="n"/>
      <c r="F193" s="10" t="n"/>
      <c r="G193" s="11" t="n"/>
      <c r="H193" s="11">
        <f>IF(OR(G193="",E193="Done"),"",G193+IFERROR(VLOOKUP(E193,Lists!$A$2:$B$6,2,FALSE),0))</f>
        <v/>
      </c>
      <c r="I193" s="10">
        <f>IF(OR(E193="",E193="Done",G193=""),"",$B$2-G193)</f>
        <v/>
      </c>
      <c r="J193" s="10">
        <f>IF(OR(E193="",E193="Done",H193=""),"",MAX(0,$B$2-H193))</f>
        <v/>
      </c>
      <c r="K193" s="10" t="inlineStr">
        <is>
          <t>Not started</t>
        </is>
      </c>
      <c r="L193" s="10" t="n"/>
      <c r="M193" s="11" t="n"/>
      <c r="N193" s="10" t="n">
        <v>0</v>
      </c>
      <c r="O193" s="11" t="n"/>
      <c r="P193" s="10" t="n">
        <v>7</v>
      </c>
    </row>
    <row r="194">
      <c r="A194" s="10" t="inlineStr">
        <is>
          <t>V-190</t>
        </is>
      </c>
      <c r="B194" s="10" t="n"/>
      <c r="C194" s="10" t="n"/>
      <c r="D194" s="10" t="n"/>
      <c r="E194" s="10" t="n"/>
      <c r="F194" s="10" t="n"/>
      <c r="G194" s="11" t="n"/>
      <c r="H194" s="11">
        <f>IF(OR(G194="",E194="Done"),"",G194+IFERROR(VLOOKUP(E194,Lists!$A$2:$B$6,2,FALSE),0))</f>
        <v/>
      </c>
      <c r="I194" s="10">
        <f>IF(OR(E194="",E194="Done",G194=""),"",$B$2-G194)</f>
        <v/>
      </c>
      <c r="J194" s="10">
        <f>IF(OR(E194="",E194="Done",H194=""),"",MAX(0,$B$2-H194))</f>
        <v/>
      </c>
      <c r="K194" s="10" t="inlineStr">
        <is>
          <t>Not started</t>
        </is>
      </c>
      <c r="L194" s="10" t="n"/>
      <c r="M194" s="11" t="n"/>
      <c r="N194" s="10" t="n">
        <v>0</v>
      </c>
      <c r="O194" s="11" t="n"/>
      <c r="P194" s="10" t="n">
        <v>7</v>
      </c>
    </row>
    <row r="195">
      <c r="A195" s="10" t="inlineStr">
        <is>
          <t>V-191</t>
        </is>
      </c>
      <c r="B195" s="10" t="n"/>
      <c r="C195" s="10" t="n"/>
      <c r="D195" s="10" t="n"/>
      <c r="E195" s="10" t="n"/>
      <c r="F195" s="10" t="n"/>
      <c r="G195" s="11" t="n"/>
      <c r="H195" s="11">
        <f>IF(OR(G195="",E195="Done"),"",G195+IFERROR(VLOOKUP(E195,Lists!$A$2:$B$6,2,FALSE),0))</f>
        <v/>
      </c>
      <c r="I195" s="10">
        <f>IF(OR(E195="",E195="Done",G195=""),"",$B$2-G195)</f>
        <v/>
      </c>
      <c r="J195" s="10">
        <f>IF(OR(E195="",E195="Done",H195=""),"",MAX(0,$B$2-H195))</f>
        <v/>
      </c>
      <c r="K195" s="10" t="inlineStr">
        <is>
          <t>Not started</t>
        </is>
      </c>
      <c r="L195" s="10" t="n"/>
      <c r="M195" s="11" t="n"/>
      <c r="N195" s="10" t="n">
        <v>0</v>
      </c>
      <c r="O195" s="11" t="n"/>
      <c r="P195" s="10" t="n">
        <v>7</v>
      </c>
    </row>
    <row r="196">
      <c r="A196" s="10" t="inlineStr">
        <is>
          <t>V-192</t>
        </is>
      </c>
      <c r="B196" s="10" t="n"/>
      <c r="C196" s="10" t="n"/>
      <c r="D196" s="10" t="n"/>
      <c r="E196" s="10" t="n"/>
      <c r="F196" s="10" t="n"/>
      <c r="G196" s="11" t="n"/>
      <c r="H196" s="11">
        <f>IF(OR(G196="",E196="Done"),"",G196+IFERROR(VLOOKUP(E196,Lists!$A$2:$B$6,2,FALSE),0))</f>
        <v/>
      </c>
      <c r="I196" s="10">
        <f>IF(OR(E196="",E196="Done",G196=""),"",$B$2-G196)</f>
        <v/>
      </c>
      <c r="J196" s="10">
        <f>IF(OR(E196="",E196="Done",H196=""),"",MAX(0,$B$2-H196))</f>
        <v/>
      </c>
      <c r="K196" s="10" t="inlineStr">
        <is>
          <t>Not started</t>
        </is>
      </c>
      <c r="L196" s="10" t="n"/>
      <c r="M196" s="11" t="n"/>
      <c r="N196" s="10" t="n">
        <v>0</v>
      </c>
      <c r="O196" s="11" t="n"/>
      <c r="P196" s="10" t="n">
        <v>7</v>
      </c>
    </row>
    <row r="197">
      <c r="A197" s="10" t="inlineStr">
        <is>
          <t>V-193</t>
        </is>
      </c>
      <c r="B197" s="10" t="n"/>
      <c r="C197" s="10" t="n"/>
      <c r="D197" s="10" t="n"/>
      <c r="E197" s="10" t="n"/>
      <c r="F197" s="10" t="n"/>
      <c r="G197" s="11" t="n"/>
      <c r="H197" s="11">
        <f>IF(OR(G197="",E197="Done"),"",G197+IFERROR(VLOOKUP(E197,Lists!$A$2:$B$6,2,FALSE),0))</f>
        <v/>
      </c>
      <c r="I197" s="10">
        <f>IF(OR(E197="",E197="Done",G197=""),"",$B$2-G197)</f>
        <v/>
      </c>
      <c r="J197" s="10">
        <f>IF(OR(E197="",E197="Done",H197=""),"",MAX(0,$B$2-H197))</f>
        <v/>
      </c>
      <c r="K197" s="10" t="inlineStr">
        <is>
          <t>Not started</t>
        </is>
      </c>
      <c r="L197" s="10" t="n"/>
      <c r="M197" s="11" t="n"/>
      <c r="N197" s="10" t="n">
        <v>0</v>
      </c>
      <c r="O197" s="11" t="n"/>
      <c r="P197" s="10" t="n">
        <v>7</v>
      </c>
    </row>
    <row r="198">
      <c r="A198" s="10" t="inlineStr">
        <is>
          <t>V-194</t>
        </is>
      </c>
      <c r="B198" s="10" t="n"/>
      <c r="C198" s="10" t="n"/>
      <c r="D198" s="10" t="n"/>
      <c r="E198" s="10" t="n"/>
      <c r="F198" s="10" t="n"/>
      <c r="G198" s="11" t="n"/>
      <c r="H198" s="11">
        <f>IF(OR(G198="",E198="Done"),"",G198+IFERROR(VLOOKUP(E198,Lists!$A$2:$B$6,2,FALSE),0))</f>
        <v/>
      </c>
      <c r="I198" s="10">
        <f>IF(OR(E198="",E198="Done",G198=""),"",$B$2-G198)</f>
        <v/>
      </c>
      <c r="J198" s="10">
        <f>IF(OR(E198="",E198="Done",H198=""),"",MAX(0,$B$2-H198))</f>
        <v/>
      </c>
      <c r="K198" s="10" t="inlineStr">
        <is>
          <t>Not started</t>
        </is>
      </c>
      <c r="L198" s="10" t="n"/>
      <c r="M198" s="11" t="n"/>
      <c r="N198" s="10" t="n">
        <v>0</v>
      </c>
      <c r="O198" s="11" t="n"/>
      <c r="P198" s="10" t="n">
        <v>7</v>
      </c>
    </row>
    <row r="199">
      <c r="A199" s="10" t="inlineStr">
        <is>
          <t>V-195</t>
        </is>
      </c>
      <c r="B199" s="10" t="n"/>
      <c r="C199" s="10" t="n"/>
      <c r="D199" s="10" t="n"/>
      <c r="E199" s="10" t="n"/>
      <c r="F199" s="10" t="n"/>
      <c r="G199" s="11" t="n"/>
      <c r="H199" s="11">
        <f>IF(OR(G199="",E199="Done"),"",G199+IFERROR(VLOOKUP(E199,Lists!$A$2:$B$6,2,FALSE),0))</f>
        <v/>
      </c>
      <c r="I199" s="10">
        <f>IF(OR(E199="",E199="Done",G199=""),"",$B$2-G199)</f>
        <v/>
      </c>
      <c r="J199" s="10">
        <f>IF(OR(E199="",E199="Done",H199=""),"",MAX(0,$B$2-H199))</f>
        <v/>
      </c>
      <c r="K199" s="10" t="inlineStr">
        <is>
          <t>Not started</t>
        </is>
      </c>
      <c r="L199" s="10" t="n"/>
      <c r="M199" s="11" t="n"/>
      <c r="N199" s="10" t="n">
        <v>0</v>
      </c>
      <c r="O199" s="11" t="n"/>
      <c r="P199" s="10" t="n">
        <v>7</v>
      </c>
    </row>
    <row r="200">
      <c r="A200" s="10" t="inlineStr">
        <is>
          <t>V-196</t>
        </is>
      </c>
      <c r="B200" s="10" t="n"/>
      <c r="C200" s="10" t="n"/>
      <c r="D200" s="10" t="n"/>
      <c r="E200" s="10" t="n"/>
      <c r="F200" s="10" t="n"/>
      <c r="G200" s="11" t="n"/>
      <c r="H200" s="11">
        <f>IF(OR(G200="",E200="Done"),"",G200+IFERROR(VLOOKUP(E200,Lists!$A$2:$B$6,2,FALSE),0))</f>
        <v/>
      </c>
      <c r="I200" s="10">
        <f>IF(OR(E200="",E200="Done",G200=""),"",$B$2-G200)</f>
        <v/>
      </c>
      <c r="J200" s="10">
        <f>IF(OR(E200="",E200="Done",H200=""),"",MAX(0,$B$2-H200))</f>
        <v/>
      </c>
      <c r="K200" s="10" t="inlineStr">
        <is>
          <t>Not started</t>
        </is>
      </c>
      <c r="L200" s="10" t="n"/>
      <c r="M200" s="11" t="n"/>
      <c r="N200" s="10" t="n">
        <v>0</v>
      </c>
      <c r="O200" s="11" t="n"/>
      <c r="P200" s="10" t="n">
        <v>7</v>
      </c>
    </row>
    <row r="201">
      <c r="A201" s="10" t="inlineStr">
        <is>
          <t>V-197</t>
        </is>
      </c>
      <c r="B201" s="10" t="n"/>
      <c r="C201" s="10" t="n"/>
      <c r="D201" s="10" t="n"/>
      <c r="E201" s="10" t="n"/>
      <c r="F201" s="10" t="n"/>
      <c r="G201" s="11" t="n"/>
      <c r="H201" s="11">
        <f>IF(OR(G201="",E201="Done"),"",G201+IFERROR(VLOOKUP(E201,Lists!$A$2:$B$6,2,FALSE),0))</f>
        <v/>
      </c>
      <c r="I201" s="10">
        <f>IF(OR(E201="",E201="Done",G201=""),"",$B$2-G201)</f>
        <v/>
      </c>
      <c r="J201" s="10">
        <f>IF(OR(E201="",E201="Done",H201=""),"",MAX(0,$B$2-H201))</f>
        <v/>
      </c>
      <c r="K201" s="10" t="inlineStr">
        <is>
          <t>Not started</t>
        </is>
      </c>
      <c r="L201" s="10" t="n"/>
      <c r="M201" s="11" t="n"/>
      <c r="N201" s="10" t="n">
        <v>0</v>
      </c>
      <c r="O201" s="11" t="n"/>
      <c r="P201" s="10" t="n">
        <v>7</v>
      </c>
    </row>
    <row r="202">
      <c r="A202" s="10" t="inlineStr">
        <is>
          <t>V-198</t>
        </is>
      </c>
      <c r="B202" s="10" t="n"/>
      <c r="C202" s="10" t="n"/>
      <c r="D202" s="10" t="n"/>
      <c r="E202" s="10" t="n"/>
      <c r="F202" s="10" t="n"/>
      <c r="G202" s="11" t="n"/>
      <c r="H202" s="11">
        <f>IF(OR(G202="",E202="Done"),"",G202+IFERROR(VLOOKUP(E202,Lists!$A$2:$B$6,2,FALSE),0))</f>
        <v/>
      </c>
      <c r="I202" s="10">
        <f>IF(OR(E202="",E202="Done",G202=""),"",$B$2-G202)</f>
        <v/>
      </c>
      <c r="J202" s="10">
        <f>IF(OR(E202="",E202="Done",H202=""),"",MAX(0,$B$2-H202))</f>
        <v/>
      </c>
      <c r="K202" s="10" t="inlineStr">
        <is>
          <t>Not started</t>
        </is>
      </c>
      <c r="L202" s="10" t="n"/>
      <c r="M202" s="11" t="n"/>
      <c r="N202" s="10" t="n">
        <v>0</v>
      </c>
      <c r="O202" s="11" t="n"/>
      <c r="P202" s="10" t="n">
        <v>7</v>
      </c>
    </row>
    <row r="203">
      <c r="A203" s="10" t="inlineStr">
        <is>
          <t>V-199</t>
        </is>
      </c>
      <c r="B203" s="10" t="n"/>
      <c r="C203" s="10" t="n"/>
      <c r="D203" s="10" t="n"/>
      <c r="E203" s="10" t="n"/>
      <c r="F203" s="10" t="n"/>
      <c r="G203" s="11" t="n"/>
      <c r="H203" s="11">
        <f>IF(OR(G203="",E203="Done"),"",G203+IFERROR(VLOOKUP(E203,Lists!$A$2:$B$6,2,FALSE),0))</f>
        <v/>
      </c>
      <c r="I203" s="10">
        <f>IF(OR(E203="",E203="Done",G203=""),"",$B$2-G203)</f>
        <v/>
      </c>
      <c r="J203" s="10">
        <f>IF(OR(E203="",E203="Done",H203=""),"",MAX(0,$B$2-H203))</f>
        <v/>
      </c>
      <c r="K203" s="10" t="inlineStr">
        <is>
          <t>Not started</t>
        </is>
      </c>
      <c r="L203" s="10" t="n"/>
      <c r="M203" s="11" t="n"/>
      <c r="N203" s="10" t="n">
        <v>0</v>
      </c>
      <c r="O203" s="11" t="n"/>
      <c r="P203" s="10" t="n">
        <v>7</v>
      </c>
    </row>
    <row r="204">
      <c r="A204" s="10" t="inlineStr">
        <is>
          <t>V-200</t>
        </is>
      </c>
      <c r="B204" s="10" t="n"/>
      <c r="C204" s="10" t="n"/>
      <c r="D204" s="10" t="n"/>
      <c r="E204" s="10" t="n"/>
      <c r="F204" s="10" t="n"/>
      <c r="G204" s="11" t="n"/>
      <c r="H204" s="11">
        <f>IF(OR(G204="",E204="Done"),"",G204+IFERROR(VLOOKUP(E204,Lists!$A$2:$B$6,2,FALSE),0))</f>
        <v/>
      </c>
      <c r="I204" s="10">
        <f>IF(OR(E204="",E204="Done",G204=""),"",$B$2-G204)</f>
        <v/>
      </c>
      <c r="J204" s="10">
        <f>IF(OR(E204="",E204="Done",H204=""),"",MAX(0,$B$2-H204))</f>
        <v/>
      </c>
      <c r="K204" s="10" t="inlineStr">
        <is>
          <t>Not started</t>
        </is>
      </c>
      <c r="L204" s="10" t="n"/>
      <c r="M204" s="11" t="n"/>
      <c r="N204" s="10" t="n">
        <v>0</v>
      </c>
      <c r="O204" s="11" t="n"/>
      <c r="P204" s="10" t="n">
        <v>7</v>
      </c>
    </row>
    <row r="205">
      <c r="A205" s="10" t="inlineStr">
        <is>
          <t>V-201</t>
        </is>
      </c>
      <c r="B205" s="10" t="n"/>
      <c r="C205" s="10" t="n"/>
      <c r="D205" s="10" t="n"/>
      <c r="E205" s="10" t="n"/>
      <c r="F205" s="10" t="n"/>
      <c r="G205" s="11" t="n"/>
      <c r="H205" s="11">
        <f>IF(OR(G205="",E205="Done"),"",G205+IFERROR(VLOOKUP(E205,Lists!$A$2:$B$6,2,FALSE),0))</f>
        <v/>
      </c>
      <c r="I205" s="10">
        <f>IF(OR(E205="",E205="Done",G205=""),"",$B$2-G205)</f>
        <v/>
      </c>
      <c r="J205" s="10">
        <f>IF(OR(E205="",E205="Done",H205=""),"",MAX(0,$B$2-H205))</f>
        <v/>
      </c>
      <c r="K205" s="10" t="inlineStr">
        <is>
          <t>Not started</t>
        </is>
      </c>
      <c r="L205" s="10" t="n"/>
      <c r="M205" s="11" t="n"/>
      <c r="N205" s="10" t="n">
        <v>0</v>
      </c>
      <c r="O205" s="11" t="n"/>
      <c r="P205" s="10" t="n">
        <v>7</v>
      </c>
    </row>
    <row r="206">
      <c r="A206" s="10" t="inlineStr">
        <is>
          <t>V-202</t>
        </is>
      </c>
      <c r="B206" s="10" t="n"/>
      <c r="C206" s="10" t="n"/>
      <c r="D206" s="10" t="n"/>
      <c r="E206" s="10" t="n"/>
      <c r="F206" s="10" t="n"/>
      <c r="G206" s="11" t="n"/>
      <c r="H206" s="11">
        <f>IF(OR(G206="",E206="Done"),"",G206+IFERROR(VLOOKUP(E206,Lists!$A$2:$B$6,2,FALSE),0))</f>
        <v/>
      </c>
      <c r="I206" s="10">
        <f>IF(OR(E206="",E206="Done",G206=""),"",$B$2-G206)</f>
        <v/>
      </c>
      <c r="J206" s="10">
        <f>IF(OR(E206="",E206="Done",H206=""),"",MAX(0,$B$2-H206))</f>
        <v/>
      </c>
      <c r="K206" s="10" t="inlineStr">
        <is>
          <t>Not started</t>
        </is>
      </c>
      <c r="L206" s="10" t="n"/>
      <c r="M206" s="11" t="n"/>
      <c r="N206" s="10" t="n">
        <v>0</v>
      </c>
      <c r="O206" s="11" t="n"/>
      <c r="P206" s="10" t="n">
        <v>7</v>
      </c>
    </row>
    <row r="207">
      <c r="A207" s="10" t="inlineStr">
        <is>
          <t>V-203</t>
        </is>
      </c>
      <c r="B207" s="10" t="n"/>
      <c r="C207" s="10" t="n"/>
      <c r="D207" s="10" t="n"/>
      <c r="E207" s="10" t="n"/>
      <c r="F207" s="10" t="n"/>
      <c r="G207" s="11" t="n"/>
      <c r="H207" s="11">
        <f>IF(OR(G207="",E207="Done"),"",G207+IFERROR(VLOOKUP(E207,Lists!$A$2:$B$6,2,FALSE),0))</f>
        <v/>
      </c>
      <c r="I207" s="10">
        <f>IF(OR(E207="",E207="Done",G207=""),"",$B$2-G207)</f>
        <v/>
      </c>
      <c r="J207" s="10">
        <f>IF(OR(E207="",E207="Done",H207=""),"",MAX(0,$B$2-H207))</f>
        <v/>
      </c>
      <c r="K207" s="10" t="inlineStr">
        <is>
          <t>Not started</t>
        </is>
      </c>
      <c r="L207" s="10" t="n"/>
      <c r="M207" s="11" t="n"/>
      <c r="N207" s="10" t="n">
        <v>0</v>
      </c>
      <c r="O207" s="11" t="n"/>
      <c r="P207" s="10" t="n">
        <v>7</v>
      </c>
    </row>
    <row r="208">
      <c r="A208" s="10" t="inlineStr">
        <is>
          <t>V-204</t>
        </is>
      </c>
      <c r="B208" s="10" t="n"/>
      <c r="C208" s="10" t="n"/>
      <c r="D208" s="10" t="n"/>
      <c r="E208" s="10" t="n"/>
      <c r="F208" s="10" t="n"/>
      <c r="G208" s="11" t="n"/>
      <c r="H208" s="11">
        <f>IF(OR(G208="",E208="Done"),"",G208+IFERROR(VLOOKUP(E208,Lists!$A$2:$B$6,2,FALSE),0))</f>
        <v/>
      </c>
      <c r="I208" s="10">
        <f>IF(OR(E208="",E208="Done",G208=""),"",$B$2-G208)</f>
        <v/>
      </c>
      <c r="J208" s="10">
        <f>IF(OR(E208="",E208="Done",H208=""),"",MAX(0,$B$2-H208))</f>
        <v/>
      </c>
      <c r="K208" s="10" t="inlineStr">
        <is>
          <t>Not started</t>
        </is>
      </c>
      <c r="L208" s="10" t="n"/>
      <c r="M208" s="11" t="n"/>
      <c r="N208" s="10" t="n">
        <v>0</v>
      </c>
      <c r="O208" s="11" t="n"/>
      <c r="P208" s="10" t="n">
        <v>7</v>
      </c>
    </row>
    <row r="209">
      <c r="A209" s="10" t="inlineStr">
        <is>
          <t>V-205</t>
        </is>
      </c>
      <c r="B209" s="10" t="n"/>
      <c r="C209" s="10" t="n"/>
      <c r="D209" s="10" t="n"/>
      <c r="E209" s="10" t="n"/>
      <c r="F209" s="10" t="n"/>
      <c r="G209" s="11" t="n"/>
      <c r="H209" s="11">
        <f>IF(OR(G209="",E209="Done"),"",G209+IFERROR(VLOOKUP(E209,Lists!$A$2:$B$6,2,FALSE),0))</f>
        <v/>
      </c>
      <c r="I209" s="10">
        <f>IF(OR(E209="",E209="Done",G209=""),"",$B$2-G209)</f>
        <v/>
      </c>
      <c r="J209" s="10">
        <f>IF(OR(E209="",E209="Done",H209=""),"",MAX(0,$B$2-H209))</f>
        <v/>
      </c>
      <c r="K209" s="10" t="inlineStr">
        <is>
          <t>Not started</t>
        </is>
      </c>
      <c r="L209" s="10" t="n"/>
      <c r="M209" s="11" t="n"/>
      <c r="N209" s="10" t="n">
        <v>0</v>
      </c>
      <c r="O209" s="11" t="n"/>
      <c r="P209" s="10" t="n">
        <v>7</v>
      </c>
    </row>
    <row r="210">
      <c r="A210" s="10" t="inlineStr">
        <is>
          <t>V-206</t>
        </is>
      </c>
      <c r="B210" s="10" t="n"/>
      <c r="C210" s="10" t="n"/>
      <c r="D210" s="10" t="n"/>
      <c r="E210" s="10" t="n"/>
      <c r="F210" s="10" t="n"/>
      <c r="G210" s="11" t="n"/>
      <c r="H210" s="11">
        <f>IF(OR(G210="",E210="Done"),"",G210+IFERROR(VLOOKUP(E210,Lists!$A$2:$B$6,2,FALSE),0))</f>
        <v/>
      </c>
      <c r="I210" s="10">
        <f>IF(OR(E210="",E210="Done",G210=""),"",$B$2-G210)</f>
        <v/>
      </c>
      <c r="J210" s="10">
        <f>IF(OR(E210="",E210="Done",H210=""),"",MAX(0,$B$2-H210))</f>
        <v/>
      </c>
      <c r="K210" s="10" t="inlineStr">
        <is>
          <t>Not started</t>
        </is>
      </c>
      <c r="L210" s="10" t="n"/>
      <c r="M210" s="11" t="n"/>
      <c r="N210" s="10" t="n">
        <v>0</v>
      </c>
      <c r="O210" s="11" t="n"/>
      <c r="P210" s="10" t="n">
        <v>7</v>
      </c>
    </row>
    <row r="211">
      <c r="A211" s="10" t="inlineStr">
        <is>
          <t>V-207</t>
        </is>
      </c>
      <c r="B211" s="10" t="n"/>
      <c r="C211" s="10" t="n"/>
      <c r="D211" s="10" t="n"/>
      <c r="E211" s="10" t="n"/>
      <c r="F211" s="10" t="n"/>
      <c r="G211" s="11" t="n"/>
      <c r="H211" s="11">
        <f>IF(OR(G211="",E211="Done"),"",G211+IFERROR(VLOOKUP(E211,Lists!$A$2:$B$6,2,FALSE),0))</f>
        <v/>
      </c>
      <c r="I211" s="10">
        <f>IF(OR(E211="",E211="Done",G211=""),"",$B$2-G211)</f>
        <v/>
      </c>
      <c r="J211" s="10">
        <f>IF(OR(E211="",E211="Done",H211=""),"",MAX(0,$B$2-H211))</f>
        <v/>
      </c>
      <c r="K211" s="10" t="inlineStr">
        <is>
          <t>Not started</t>
        </is>
      </c>
      <c r="L211" s="10" t="n"/>
      <c r="M211" s="11" t="n"/>
      <c r="N211" s="10" t="n">
        <v>0</v>
      </c>
      <c r="O211" s="11" t="n"/>
      <c r="P211" s="10" t="n">
        <v>7</v>
      </c>
    </row>
    <row r="212">
      <c r="A212" s="10" t="inlineStr">
        <is>
          <t>V-208</t>
        </is>
      </c>
      <c r="B212" s="10" t="n"/>
      <c r="C212" s="10" t="n"/>
      <c r="D212" s="10" t="n"/>
      <c r="E212" s="10" t="n"/>
      <c r="F212" s="10" t="n"/>
      <c r="G212" s="11" t="n"/>
      <c r="H212" s="11">
        <f>IF(OR(G212="",E212="Done"),"",G212+IFERROR(VLOOKUP(E212,Lists!$A$2:$B$6,2,FALSE),0))</f>
        <v/>
      </c>
      <c r="I212" s="10">
        <f>IF(OR(E212="",E212="Done",G212=""),"",$B$2-G212)</f>
        <v/>
      </c>
      <c r="J212" s="10">
        <f>IF(OR(E212="",E212="Done",H212=""),"",MAX(0,$B$2-H212))</f>
        <v/>
      </c>
      <c r="K212" s="10" t="inlineStr">
        <is>
          <t>Not started</t>
        </is>
      </c>
      <c r="L212" s="10" t="n"/>
      <c r="M212" s="11" t="n"/>
      <c r="N212" s="10" t="n">
        <v>0</v>
      </c>
      <c r="O212" s="11" t="n"/>
      <c r="P212" s="10" t="n">
        <v>7</v>
      </c>
    </row>
    <row r="213">
      <c r="A213" s="10" t="inlineStr">
        <is>
          <t>V-209</t>
        </is>
      </c>
      <c r="B213" s="10" t="n"/>
      <c r="C213" s="10" t="n"/>
      <c r="D213" s="10" t="n"/>
      <c r="E213" s="10" t="n"/>
      <c r="F213" s="10" t="n"/>
      <c r="G213" s="11" t="n"/>
      <c r="H213" s="11">
        <f>IF(OR(G213="",E213="Done"),"",G213+IFERROR(VLOOKUP(E213,Lists!$A$2:$B$6,2,FALSE),0))</f>
        <v/>
      </c>
      <c r="I213" s="10">
        <f>IF(OR(E213="",E213="Done",G213=""),"",$B$2-G213)</f>
        <v/>
      </c>
      <c r="J213" s="10">
        <f>IF(OR(E213="",E213="Done",H213=""),"",MAX(0,$B$2-H213))</f>
        <v/>
      </c>
      <c r="K213" s="10" t="inlineStr">
        <is>
          <t>Not started</t>
        </is>
      </c>
      <c r="L213" s="10" t="n"/>
      <c r="M213" s="11" t="n"/>
      <c r="N213" s="10" t="n">
        <v>0</v>
      </c>
      <c r="O213" s="11" t="n"/>
      <c r="P213" s="10" t="n">
        <v>7</v>
      </c>
    </row>
    <row r="214">
      <c r="A214" s="10" t="inlineStr">
        <is>
          <t>V-210</t>
        </is>
      </c>
      <c r="B214" s="10" t="n"/>
      <c r="C214" s="10" t="n"/>
      <c r="D214" s="10" t="n"/>
      <c r="E214" s="10" t="n"/>
      <c r="F214" s="10" t="n"/>
      <c r="G214" s="11" t="n"/>
      <c r="H214" s="11">
        <f>IF(OR(G214="",E214="Done"),"",G214+IFERROR(VLOOKUP(E214,Lists!$A$2:$B$6,2,FALSE),0))</f>
        <v/>
      </c>
      <c r="I214" s="10">
        <f>IF(OR(E214="",E214="Done",G214=""),"",$B$2-G214)</f>
        <v/>
      </c>
      <c r="J214" s="10">
        <f>IF(OR(E214="",E214="Done",H214=""),"",MAX(0,$B$2-H214))</f>
        <v/>
      </c>
      <c r="K214" s="10" t="inlineStr">
        <is>
          <t>Not started</t>
        </is>
      </c>
      <c r="L214" s="10" t="n"/>
      <c r="M214" s="11" t="n"/>
      <c r="N214" s="10" t="n">
        <v>0</v>
      </c>
      <c r="O214" s="11" t="n"/>
      <c r="P214" s="10" t="n">
        <v>7</v>
      </c>
    </row>
    <row r="215">
      <c r="A215" s="10" t="inlineStr">
        <is>
          <t>V-211</t>
        </is>
      </c>
      <c r="B215" s="10" t="n"/>
      <c r="C215" s="10" t="n"/>
      <c r="D215" s="10" t="n"/>
      <c r="E215" s="10" t="n"/>
      <c r="F215" s="10" t="n"/>
      <c r="G215" s="11" t="n"/>
      <c r="H215" s="11">
        <f>IF(OR(G215="",E215="Done"),"",G215+IFERROR(VLOOKUP(E215,Lists!$A$2:$B$6,2,FALSE),0))</f>
        <v/>
      </c>
      <c r="I215" s="10">
        <f>IF(OR(E215="",E215="Done",G215=""),"",$B$2-G215)</f>
        <v/>
      </c>
      <c r="J215" s="10">
        <f>IF(OR(E215="",E215="Done",H215=""),"",MAX(0,$B$2-H215))</f>
        <v/>
      </c>
      <c r="K215" s="10" t="inlineStr">
        <is>
          <t>Not started</t>
        </is>
      </c>
      <c r="L215" s="10" t="n"/>
      <c r="M215" s="11" t="n"/>
      <c r="N215" s="10" t="n">
        <v>0</v>
      </c>
      <c r="O215" s="11" t="n"/>
      <c r="P215" s="10" t="n">
        <v>8</v>
      </c>
    </row>
    <row r="216">
      <c r="A216" s="10" t="inlineStr">
        <is>
          <t>V-212</t>
        </is>
      </c>
      <c r="B216" s="10" t="n"/>
      <c r="C216" s="10" t="n"/>
      <c r="D216" s="10" t="n"/>
      <c r="E216" s="10" t="n"/>
      <c r="F216" s="10" t="n"/>
      <c r="G216" s="11" t="n"/>
      <c r="H216" s="11">
        <f>IF(OR(G216="",E216="Done"),"",G216+IFERROR(VLOOKUP(E216,Lists!$A$2:$B$6,2,FALSE),0))</f>
        <v/>
      </c>
      <c r="I216" s="10">
        <f>IF(OR(E216="",E216="Done",G216=""),"",$B$2-G216)</f>
        <v/>
      </c>
      <c r="J216" s="10">
        <f>IF(OR(E216="",E216="Done",H216=""),"",MAX(0,$B$2-H216))</f>
        <v/>
      </c>
      <c r="K216" s="10" t="inlineStr">
        <is>
          <t>Not started</t>
        </is>
      </c>
      <c r="L216" s="10" t="n"/>
      <c r="M216" s="11" t="n"/>
      <c r="N216" s="10" t="n">
        <v>0</v>
      </c>
      <c r="O216" s="11" t="n"/>
      <c r="P216" s="10" t="n">
        <v>8</v>
      </c>
    </row>
    <row r="217">
      <c r="A217" s="10" t="inlineStr">
        <is>
          <t>V-213</t>
        </is>
      </c>
      <c r="B217" s="10" t="n"/>
      <c r="C217" s="10" t="n"/>
      <c r="D217" s="10" t="n"/>
      <c r="E217" s="10" t="n"/>
      <c r="F217" s="10" t="n"/>
      <c r="G217" s="11" t="n"/>
      <c r="H217" s="11">
        <f>IF(OR(G217="",E217="Done"),"",G217+IFERROR(VLOOKUP(E217,Lists!$A$2:$B$6,2,FALSE),0))</f>
        <v/>
      </c>
      <c r="I217" s="10">
        <f>IF(OR(E217="",E217="Done",G217=""),"",$B$2-G217)</f>
        <v/>
      </c>
      <c r="J217" s="10">
        <f>IF(OR(E217="",E217="Done",H217=""),"",MAX(0,$B$2-H217))</f>
        <v/>
      </c>
      <c r="K217" s="10" t="inlineStr">
        <is>
          <t>Not started</t>
        </is>
      </c>
      <c r="L217" s="10" t="n"/>
      <c r="M217" s="11" t="n"/>
      <c r="N217" s="10" t="n">
        <v>0</v>
      </c>
      <c r="O217" s="11" t="n"/>
      <c r="P217" s="10" t="n">
        <v>8</v>
      </c>
    </row>
    <row r="218">
      <c r="A218" s="10" t="inlineStr">
        <is>
          <t>V-214</t>
        </is>
      </c>
      <c r="B218" s="10" t="n"/>
      <c r="C218" s="10" t="n"/>
      <c r="D218" s="10" t="n"/>
      <c r="E218" s="10" t="n"/>
      <c r="F218" s="10" t="n"/>
      <c r="G218" s="11" t="n"/>
      <c r="H218" s="11">
        <f>IF(OR(G218="",E218="Done"),"",G218+IFERROR(VLOOKUP(E218,Lists!$A$2:$B$6,2,FALSE),0))</f>
        <v/>
      </c>
      <c r="I218" s="10">
        <f>IF(OR(E218="",E218="Done",G218=""),"",$B$2-G218)</f>
        <v/>
      </c>
      <c r="J218" s="10">
        <f>IF(OR(E218="",E218="Done",H218=""),"",MAX(0,$B$2-H218))</f>
        <v/>
      </c>
      <c r="K218" s="10" t="inlineStr">
        <is>
          <t>Not started</t>
        </is>
      </c>
      <c r="L218" s="10" t="n"/>
      <c r="M218" s="11" t="n"/>
      <c r="N218" s="10" t="n">
        <v>0</v>
      </c>
      <c r="O218" s="11" t="n"/>
      <c r="P218" s="10" t="n">
        <v>8</v>
      </c>
    </row>
    <row r="219">
      <c r="A219" s="10" t="inlineStr">
        <is>
          <t>V-215</t>
        </is>
      </c>
      <c r="B219" s="10" t="n"/>
      <c r="C219" s="10" t="n"/>
      <c r="D219" s="10" t="n"/>
      <c r="E219" s="10" t="n"/>
      <c r="F219" s="10" t="n"/>
      <c r="G219" s="11" t="n"/>
      <c r="H219" s="11">
        <f>IF(OR(G219="",E219="Done"),"",G219+IFERROR(VLOOKUP(E219,Lists!$A$2:$B$6,2,FALSE),0))</f>
        <v/>
      </c>
      <c r="I219" s="10">
        <f>IF(OR(E219="",E219="Done",G219=""),"",$B$2-G219)</f>
        <v/>
      </c>
      <c r="J219" s="10">
        <f>IF(OR(E219="",E219="Done",H219=""),"",MAX(0,$B$2-H219))</f>
        <v/>
      </c>
      <c r="K219" s="10" t="inlineStr">
        <is>
          <t>Not started</t>
        </is>
      </c>
      <c r="L219" s="10" t="n"/>
      <c r="M219" s="11" t="n"/>
      <c r="N219" s="10" t="n">
        <v>0</v>
      </c>
      <c r="O219" s="11" t="n"/>
      <c r="P219" s="10" t="n">
        <v>8</v>
      </c>
    </row>
    <row r="220">
      <c r="A220" s="10" t="inlineStr">
        <is>
          <t>V-216</t>
        </is>
      </c>
      <c r="B220" s="10" t="n"/>
      <c r="C220" s="10" t="n"/>
      <c r="D220" s="10" t="n"/>
      <c r="E220" s="10" t="n"/>
      <c r="F220" s="10" t="n"/>
      <c r="G220" s="11" t="n"/>
      <c r="H220" s="11">
        <f>IF(OR(G220="",E220="Done"),"",G220+IFERROR(VLOOKUP(E220,Lists!$A$2:$B$6,2,FALSE),0))</f>
        <v/>
      </c>
      <c r="I220" s="10">
        <f>IF(OR(E220="",E220="Done",G220=""),"",$B$2-G220)</f>
        <v/>
      </c>
      <c r="J220" s="10">
        <f>IF(OR(E220="",E220="Done",H220=""),"",MAX(0,$B$2-H220))</f>
        <v/>
      </c>
      <c r="K220" s="10" t="inlineStr">
        <is>
          <t>Not started</t>
        </is>
      </c>
      <c r="L220" s="10" t="n"/>
      <c r="M220" s="11" t="n"/>
      <c r="N220" s="10" t="n">
        <v>0</v>
      </c>
      <c r="O220" s="11" t="n"/>
      <c r="P220" s="10" t="n">
        <v>8</v>
      </c>
    </row>
    <row r="221">
      <c r="A221" s="10" t="inlineStr">
        <is>
          <t>V-217</t>
        </is>
      </c>
      <c r="B221" s="10" t="n"/>
      <c r="C221" s="10" t="n"/>
      <c r="D221" s="10" t="n"/>
      <c r="E221" s="10" t="n"/>
      <c r="F221" s="10" t="n"/>
      <c r="G221" s="11" t="n"/>
      <c r="H221" s="11">
        <f>IF(OR(G221="",E221="Done"),"",G221+IFERROR(VLOOKUP(E221,Lists!$A$2:$B$6,2,FALSE),0))</f>
        <v/>
      </c>
      <c r="I221" s="10">
        <f>IF(OR(E221="",E221="Done",G221=""),"",$B$2-G221)</f>
        <v/>
      </c>
      <c r="J221" s="10">
        <f>IF(OR(E221="",E221="Done",H221=""),"",MAX(0,$B$2-H221))</f>
        <v/>
      </c>
      <c r="K221" s="10" t="inlineStr">
        <is>
          <t>Not started</t>
        </is>
      </c>
      <c r="L221" s="10" t="n"/>
      <c r="M221" s="11" t="n"/>
      <c r="N221" s="10" t="n">
        <v>0</v>
      </c>
      <c r="O221" s="11" t="n"/>
      <c r="P221" s="10" t="n">
        <v>8</v>
      </c>
    </row>
    <row r="222">
      <c r="A222" s="10" t="inlineStr">
        <is>
          <t>V-218</t>
        </is>
      </c>
      <c r="B222" s="10" t="n"/>
      <c r="C222" s="10" t="n"/>
      <c r="D222" s="10" t="n"/>
      <c r="E222" s="10" t="n"/>
      <c r="F222" s="10" t="n"/>
      <c r="G222" s="11" t="n"/>
      <c r="H222" s="11">
        <f>IF(OR(G222="",E222="Done"),"",G222+IFERROR(VLOOKUP(E222,Lists!$A$2:$B$6,2,FALSE),0))</f>
        <v/>
      </c>
      <c r="I222" s="10">
        <f>IF(OR(E222="",E222="Done",G222=""),"",$B$2-G222)</f>
        <v/>
      </c>
      <c r="J222" s="10">
        <f>IF(OR(E222="",E222="Done",H222=""),"",MAX(0,$B$2-H222))</f>
        <v/>
      </c>
      <c r="K222" s="10" t="inlineStr">
        <is>
          <t>Not started</t>
        </is>
      </c>
      <c r="L222" s="10" t="n"/>
      <c r="M222" s="11" t="n"/>
      <c r="N222" s="10" t="n">
        <v>0</v>
      </c>
      <c r="O222" s="11" t="n"/>
      <c r="P222" s="10" t="n">
        <v>8</v>
      </c>
    </row>
    <row r="223">
      <c r="A223" s="10" t="inlineStr">
        <is>
          <t>V-219</t>
        </is>
      </c>
      <c r="B223" s="10" t="n"/>
      <c r="C223" s="10" t="n"/>
      <c r="D223" s="10" t="n"/>
      <c r="E223" s="10" t="n"/>
      <c r="F223" s="10" t="n"/>
      <c r="G223" s="11" t="n"/>
      <c r="H223" s="11">
        <f>IF(OR(G223="",E223="Done"),"",G223+IFERROR(VLOOKUP(E223,Lists!$A$2:$B$6,2,FALSE),0))</f>
        <v/>
      </c>
      <c r="I223" s="10">
        <f>IF(OR(E223="",E223="Done",G223=""),"",$B$2-G223)</f>
        <v/>
      </c>
      <c r="J223" s="10">
        <f>IF(OR(E223="",E223="Done",H223=""),"",MAX(0,$B$2-H223))</f>
        <v/>
      </c>
      <c r="K223" s="10" t="inlineStr">
        <is>
          <t>Not started</t>
        </is>
      </c>
      <c r="L223" s="10" t="n"/>
      <c r="M223" s="11" t="n"/>
      <c r="N223" s="10" t="n">
        <v>0</v>
      </c>
      <c r="O223" s="11" t="n"/>
      <c r="P223" s="10" t="n">
        <v>8</v>
      </c>
    </row>
    <row r="224">
      <c r="A224" s="10" t="inlineStr">
        <is>
          <t>V-220</t>
        </is>
      </c>
      <c r="B224" s="10" t="n"/>
      <c r="C224" s="10" t="n"/>
      <c r="D224" s="10" t="n"/>
      <c r="E224" s="10" t="n"/>
      <c r="F224" s="10" t="n"/>
      <c r="G224" s="11" t="n"/>
      <c r="H224" s="11">
        <f>IF(OR(G224="",E224="Done"),"",G224+IFERROR(VLOOKUP(E224,Lists!$A$2:$B$6,2,FALSE),0))</f>
        <v/>
      </c>
      <c r="I224" s="10">
        <f>IF(OR(E224="",E224="Done",G224=""),"",$B$2-G224)</f>
        <v/>
      </c>
      <c r="J224" s="10">
        <f>IF(OR(E224="",E224="Done",H224=""),"",MAX(0,$B$2-H224))</f>
        <v/>
      </c>
      <c r="K224" s="10" t="inlineStr">
        <is>
          <t>Not started</t>
        </is>
      </c>
      <c r="L224" s="10" t="n"/>
      <c r="M224" s="11" t="n"/>
      <c r="N224" s="10" t="n">
        <v>0</v>
      </c>
      <c r="O224" s="11" t="n"/>
      <c r="P224" s="10" t="n">
        <v>8</v>
      </c>
    </row>
    <row r="225">
      <c r="A225" s="10" t="inlineStr">
        <is>
          <t>V-221</t>
        </is>
      </c>
      <c r="B225" s="10" t="n"/>
      <c r="C225" s="10" t="n"/>
      <c r="D225" s="10" t="n"/>
      <c r="E225" s="10" t="n"/>
      <c r="F225" s="10" t="n"/>
      <c r="G225" s="11" t="n"/>
      <c r="H225" s="11">
        <f>IF(OR(G225="",E225="Done"),"",G225+IFERROR(VLOOKUP(E225,Lists!$A$2:$B$6,2,FALSE),0))</f>
        <v/>
      </c>
      <c r="I225" s="10">
        <f>IF(OR(E225="",E225="Done",G225=""),"",$B$2-G225)</f>
        <v/>
      </c>
      <c r="J225" s="10">
        <f>IF(OR(E225="",E225="Done",H225=""),"",MAX(0,$B$2-H225))</f>
        <v/>
      </c>
      <c r="K225" s="10" t="inlineStr">
        <is>
          <t>Not started</t>
        </is>
      </c>
      <c r="L225" s="10" t="n"/>
      <c r="M225" s="11" t="n"/>
      <c r="N225" s="10" t="n">
        <v>0</v>
      </c>
      <c r="O225" s="11" t="n"/>
      <c r="P225" s="10" t="n">
        <v>8</v>
      </c>
    </row>
    <row r="226">
      <c r="A226" s="10" t="inlineStr">
        <is>
          <t>V-222</t>
        </is>
      </c>
      <c r="B226" s="10" t="n"/>
      <c r="C226" s="10" t="n"/>
      <c r="D226" s="10" t="n"/>
      <c r="E226" s="10" t="n"/>
      <c r="F226" s="10" t="n"/>
      <c r="G226" s="11" t="n"/>
      <c r="H226" s="11">
        <f>IF(OR(G226="",E226="Done"),"",G226+IFERROR(VLOOKUP(E226,Lists!$A$2:$B$6,2,FALSE),0))</f>
        <v/>
      </c>
      <c r="I226" s="10">
        <f>IF(OR(E226="",E226="Done",G226=""),"",$B$2-G226)</f>
        <v/>
      </c>
      <c r="J226" s="10">
        <f>IF(OR(E226="",E226="Done",H226=""),"",MAX(0,$B$2-H226))</f>
        <v/>
      </c>
      <c r="K226" s="10" t="inlineStr">
        <is>
          <t>Not started</t>
        </is>
      </c>
      <c r="L226" s="10" t="n"/>
      <c r="M226" s="11" t="n"/>
      <c r="N226" s="10" t="n">
        <v>0</v>
      </c>
      <c r="O226" s="11" t="n"/>
      <c r="P226" s="10" t="n">
        <v>8</v>
      </c>
    </row>
    <row r="227">
      <c r="A227" s="10" t="inlineStr">
        <is>
          <t>V-223</t>
        </is>
      </c>
      <c r="B227" s="10" t="n"/>
      <c r="C227" s="10" t="n"/>
      <c r="D227" s="10" t="n"/>
      <c r="E227" s="10" t="n"/>
      <c r="F227" s="10" t="n"/>
      <c r="G227" s="11" t="n"/>
      <c r="H227" s="11">
        <f>IF(OR(G227="",E227="Done"),"",G227+IFERROR(VLOOKUP(E227,Lists!$A$2:$B$6,2,FALSE),0))</f>
        <v/>
      </c>
      <c r="I227" s="10">
        <f>IF(OR(E227="",E227="Done",G227=""),"",$B$2-G227)</f>
        <v/>
      </c>
      <c r="J227" s="10">
        <f>IF(OR(E227="",E227="Done",H227=""),"",MAX(0,$B$2-H227))</f>
        <v/>
      </c>
      <c r="K227" s="10" t="inlineStr">
        <is>
          <t>Not started</t>
        </is>
      </c>
      <c r="L227" s="10" t="n"/>
      <c r="M227" s="11" t="n"/>
      <c r="N227" s="10" t="n">
        <v>0</v>
      </c>
      <c r="O227" s="11" t="n"/>
      <c r="P227" s="10" t="n">
        <v>8</v>
      </c>
    </row>
    <row r="228">
      <c r="A228" s="10" t="inlineStr">
        <is>
          <t>V-224</t>
        </is>
      </c>
      <c r="B228" s="10" t="n"/>
      <c r="C228" s="10" t="n"/>
      <c r="D228" s="10" t="n"/>
      <c r="E228" s="10" t="n"/>
      <c r="F228" s="10" t="n"/>
      <c r="G228" s="11" t="n"/>
      <c r="H228" s="11">
        <f>IF(OR(G228="",E228="Done"),"",G228+IFERROR(VLOOKUP(E228,Lists!$A$2:$B$6,2,FALSE),0))</f>
        <v/>
      </c>
      <c r="I228" s="10">
        <f>IF(OR(E228="",E228="Done",G228=""),"",$B$2-G228)</f>
        <v/>
      </c>
      <c r="J228" s="10">
        <f>IF(OR(E228="",E228="Done",H228=""),"",MAX(0,$B$2-H228))</f>
        <v/>
      </c>
      <c r="K228" s="10" t="inlineStr">
        <is>
          <t>Not started</t>
        </is>
      </c>
      <c r="L228" s="10" t="n"/>
      <c r="M228" s="11" t="n"/>
      <c r="N228" s="10" t="n">
        <v>0</v>
      </c>
      <c r="O228" s="11" t="n"/>
      <c r="P228" s="10" t="n">
        <v>8</v>
      </c>
    </row>
    <row r="229">
      <c r="A229" s="10" t="inlineStr">
        <is>
          <t>V-225</t>
        </is>
      </c>
      <c r="B229" s="10" t="n"/>
      <c r="C229" s="10" t="n"/>
      <c r="D229" s="10" t="n"/>
      <c r="E229" s="10" t="n"/>
      <c r="F229" s="10" t="n"/>
      <c r="G229" s="11" t="n"/>
      <c r="H229" s="11">
        <f>IF(OR(G229="",E229="Done"),"",G229+IFERROR(VLOOKUP(E229,Lists!$A$2:$B$6,2,FALSE),0))</f>
        <v/>
      </c>
      <c r="I229" s="10">
        <f>IF(OR(E229="",E229="Done",G229=""),"",$B$2-G229)</f>
        <v/>
      </c>
      <c r="J229" s="10">
        <f>IF(OR(E229="",E229="Done",H229=""),"",MAX(0,$B$2-H229))</f>
        <v/>
      </c>
      <c r="K229" s="10" t="inlineStr">
        <is>
          <t>Not started</t>
        </is>
      </c>
      <c r="L229" s="10" t="n"/>
      <c r="M229" s="11" t="n"/>
      <c r="N229" s="10" t="n">
        <v>0</v>
      </c>
      <c r="O229" s="11" t="n"/>
      <c r="P229" s="10" t="n">
        <v>8</v>
      </c>
    </row>
    <row r="230">
      <c r="A230" s="10" t="inlineStr">
        <is>
          <t>V-226</t>
        </is>
      </c>
      <c r="B230" s="10" t="n"/>
      <c r="C230" s="10" t="n"/>
      <c r="D230" s="10" t="n"/>
      <c r="E230" s="10" t="n"/>
      <c r="F230" s="10" t="n"/>
      <c r="G230" s="11" t="n"/>
      <c r="H230" s="11">
        <f>IF(OR(G230="",E230="Done"),"",G230+IFERROR(VLOOKUP(E230,Lists!$A$2:$B$6,2,FALSE),0))</f>
        <v/>
      </c>
      <c r="I230" s="10">
        <f>IF(OR(E230="",E230="Done",G230=""),"",$B$2-G230)</f>
        <v/>
      </c>
      <c r="J230" s="10">
        <f>IF(OR(E230="",E230="Done",H230=""),"",MAX(0,$B$2-H230))</f>
        <v/>
      </c>
      <c r="K230" s="10" t="inlineStr">
        <is>
          <t>Not started</t>
        </is>
      </c>
      <c r="L230" s="10" t="n"/>
      <c r="M230" s="11" t="n"/>
      <c r="N230" s="10" t="n">
        <v>0</v>
      </c>
      <c r="O230" s="11" t="n"/>
      <c r="P230" s="10" t="n">
        <v>8</v>
      </c>
    </row>
    <row r="231">
      <c r="A231" s="10" t="inlineStr">
        <is>
          <t>V-227</t>
        </is>
      </c>
      <c r="B231" s="10" t="n"/>
      <c r="C231" s="10" t="n"/>
      <c r="D231" s="10" t="n"/>
      <c r="E231" s="10" t="n"/>
      <c r="F231" s="10" t="n"/>
      <c r="G231" s="11" t="n"/>
      <c r="H231" s="11">
        <f>IF(OR(G231="",E231="Done"),"",G231+IFERROR(VLOOKUP(E231,Lists!$A$2:$B$6,2,FALSE),0))</f>
        <v/>
      </c>
      <c r="I231" s="10">
        <f>IF(OR(E231="",E231="Done",G231=""),"",$B$2-G231)</f>
        <v/>
      </c>
      <c r="J231" s="10">
        <f>IF(OR(E231="",E231="Done",H231=""),"",MAX(0,$B$2-H231))</f>
        <v/>
      </c>
      <c r="K231" s="10" t="inlineStr">
        <is>
          <t>Not started</t>
        </is>
      </c>
      <c r="L231" s="10" t="n"/>
      <c r="M231" s="11" t="n"/>
      <c r="N231" s="10" t="n">
        <v>0</v>
      </c>
      <c r="O231" s="11" t="n"/>
      <c r="P231" s="10" t="n">
        <v>8</v>
      </c>
    </row>
    <row r="232">
      <c r="A232" s="10" t="inlineStr">
        <is>
          <t>V-228</t>
        </is>
      </c>
      <c r="B232" s="10" t="n"/>
      <c r="C232" s="10" t="n"/>
      <c r="D232" s="10" t="n"/>
      <c r="E232" s="10" t="n"/>
      <c r="F232" s="10" t="n"/>
      <c r="G232" s="11" t="n"/>
      <c r="H232" s="11">
        <f>IF(OR(G232="",E232="Done"),"",G232+IFERROR(VLOOKUP(E232,Lists!$A$2:$B$6,2,FALSE),0))</f>
        <v/>
      </c>
      <c r="I232" s="10">
        <f>IF(OR(E232="",E232="Done",G232=""),"",$B$2-G232)</f>
        <v/>
      </c>
      <c r="J232" s="10">
        <f>IF(OR(E232="",E232="Done",H232=""),"",MAX(0,$B$2-H232))</f>
        <v/>
      </c>
      <c r="K232" s="10" t="inlineStr">
        <is>
          <t>Not started</t>
        </is>
      </c>
      <c r="L232" s="10" t="n"/>
      <c r="M232" s="11" t="n"/>
      <c r="N232" s="10" t="n">
        <v>0</v>
      </c>
      <c r="O232" s="11" t="n"/>
      <c r="P232" s="10" t="n">
        <v>8</v>
      </c>
    </row>
    <row r="233">
      <c r="A233" s="10" t="inlineStr">
        <is>
          <t>V-229</t>
        </is>
      </c>
      <c r="B233" s="10" t="n"/>
      <c r="C233" s="10" t="n"/>
      <c r="D233" s="10" t="n"/>
      <c r="E233" s="10" t="n"/>
      <c r="F233" s="10" t="n"/>
      <c r="G233" s="11" t="n"/>
      <c r="H233" s="11">
        <f>IF(OR(G233="",E233="Done"),"",G233+IFERROR(VLOOKUP(E233,Lists!$A$2:$B$6,2,FALSE),0))</f>
        <v/>
      </c>
      <c r="I233" s="10">
        <f>IF(OR(E233="",E233="Done",G233=""),"",$B$2-G233)</f>
        <v/>
      </c>
      <c r="J233" s="10">
        <f>IF(OR(E233="",E233="Done",H233=""),"",MAX(0,$B$2-H233))</f>
        <v/>
      </c>
      <c r="K233" s="10" t="inlineStr">
        <is>
          <t>Not started</t>
        </is>
      </c>
      <c r="L233" s="10" t="n"/>
      <c r="M233" s="11" t="n"/>
      <c r="N233" s="10" t="n">
        <v>0</v>
      </c>
      <c r="O233" s="11" t="n"/>
      <c r="P233" s="10" t="n">
        <v>8</v>
      </c>
    </row>
    <row r="234">
      <c r="A234" s="10" t="inlineStr">
        <is>
          <t>V-230</t>
        </is>
      </c>
      <c r="B234" s="10" t="n"/>
      <c r="C234" s="10" t="n"/>
      <c r="D234" s="10" t="n"/>
      <c r="E234" s="10" t="n"/>
      <c r="F234" s="10" t="n"/>
      <c r="G234" s="11" t="n"/>
      <c r="H234" s="11">
        <f>IF(OR(G234="",E234="Done"),"",G234+IFERROR(VLOOKUP(E234,Lists!$A$2:$B$6,2,FALSE),0))</f>
        <v/>
      </c>
      <c r="I234" s="10">
        <f>IF(OR(E234="",E234="Done",G234=""),"",$B$2-G234)</f>
        <v/>
      </c>
      <c r="J234" s="10">
        <f>IF(OR(E234="",E234="Done",H234=""),"",MAX(0,$B$2-H234))</f>
        <v/>
      </c>
      <c r="K234" s="10" t="inlineStr">
        <is>
          <t>Not started</t>
        </is>
      </c>
      <c r="L234" s="10" t="n"/>
      <c r="M234" s="11" t="n"/>
      <c r="N234" s="10" t="n">
        <v>0</v>
      </c>
      <c r="O234" s="11" t="n"/>
      <c r="P234" s="10" t="n">
        <v>8</v>
      </c>
    </row>
    <row r="235">
      <c r="A235" s="10" t="inlineStr">
        <is>
          <t>V-231</t>
        </is>
      </c>
      <c r="B235" s="10" t="n"/>
      <c r="C235" s="10" t="n"/>
      <c r="D235" s="10" t="n"/>
      <c r="E235" s="10" t="n"/>
      <c r="F235" s="10" t="n"/>
      <c r="G235" s="11" t="n"/>
      <c r="H235" s="11">
        <f>IF(OR(G235="",E235="Done"),"",G235+IFERROR(VLOOKUP(E235,Lists!$A$2:$B$6,2,FALSE),0))</f>
        <v/>
      </c>
      <c r="I235" s="10">
        <f>IF(OR(E235="",E235="Done",G235=""),"",$B$2-G235)</f>
        <v/>
      </c>
      <c r="J235" s="10">
        <f>IF(OR(E235="",E235="Done",H235=""),"",MAX(0,$B$2-H235))</f>
        <v/>
      </c>
      <c r="K235" s="10" t="inlineStr">
        <is>
          <t>Not started</t>
        </is>
      </c>
      <c r="L235" s="10" t="n"/>
      <c r="M235" s="11" t="n"/>
      <c r="N235" s="10" t="n">
        <v>0</v>
      </c>
      <c r="O235" s="11" t="n"/>
      <c r="P235" s="10" t="n">
        <v>8</v>
      </c>
    </row>
    <row r="236">
      <c r="A236" s="10" t="inlineStr">
        <is>
          <t>V-232</t>
        </is>
      </c>
      <c r="B236" s="10" t="n"/>
      <c r="C236" s="10" t="n"/>
      <c r="D236" s="10" t="n"/>
      <c r="E236" s="10" t="n"/>
      <c r="F236" s="10" t="n"/>
      <c r="G236" s="11" t="n"/>
      <c r="H236" s="11">
        <f>IF(OR(G236="",E236="Done"),"",G236+IFERROR(VLOOKUP(E236,Lists!$A$2:$B$6,2,FALSE),0))</f>
        <v/>
      </c>
      <c r="I236" s="10">
        <f>IF(OR(E236="",E236="Done",G236=""),"",$B$2-G236)</f>
        <v/>
      </c>
      <c r="J236" s="10">
        <f>IF(OR(E236="",E236="Done",H236=""),"",MAX(0,$B$2-H236))</f>
        <v/>
      </c>
      <c r="K236" s="10" t="inlineStr">
        <is>
          <t>Not started</t>
        </is>
      </c>
      <c r="L236" s="10" t="n"/>
      <c r="M236" s="11" t="n"/>
      <c r="N236" s="10" t="n">
        <v>0</v>
      </c>
      <c r="O236" s="11" t="n"/>
      <c r="P236" s="10" t="n">
        <v>8</v>
      </c>
    </row>
    <row r="237">
      <c r="A237" s="10" t="inlineStr">
        <is>
          <t>V-233</t>
        </is>
      </c>
      <c r="B237" s="10" t="n"/>
      <c r="C237" s="10" t="n"/>
      <c r="D237" s="10" t="n"/>
      <c r="E237" s="10" t="n"/>
      <c r="F237" s="10" t="n"/>
      <c r="G237" s="11" t="n"/>
      <c r="H237" s="11">
        <f>IF(OR(G237="",E237="Done"),"",G237+IFERROR(VLOOKUP(E237,Lists!$A$2:$B$6,2,FALSE),0))</f>
        <v/>
      </c>
      <c r="I237" s="10">
        <f>IF(OR(E237="",E237="Done",G237=""),"",$B$2-G237)</f>
        <v/>
      </c>
      <c r="J237" s="10">
        <f>IF(OR(E237="",E237="Done",H237=""),"",MAX(0,$B$2-H237))</f>
        <v/>
      </c>
      <c r="K237" s="10" t="inlineStr">
        <is>
          <t>Not started</t>
        </is>
      </c>
      <c r="L237" s="10" t="n"/>
      <c r="M237" s="11" t="n"/>
      <c r="N237" s="10" t="n">
        <v>0</v>
      </c>
      <c r="O237" s="11" t="n"/>
      <c r="P237" s="10" t="n">
        <v>8</v>
      </c>
    </row>
    <row r="238">
      <c r="A238" s="10" t="inlineStr">
        <is>
          <t>V-234</t>
        </is>
      </c>
      <c r="B238" s="10" t="n"/>
      <c r="C238" s="10" t="n"/>
      <c r="D238" s="10" t="n"/>
      <c r="E238" s="10" t="n"/>
      <c r="F238" s="10" t="n"/>
      <c r="G238" s="11" t="n"/>
      <c r="H238" s="11">
        <f>IF(OR(G238="",E238="Done"),"",G238+IFERROR(VLOOKUP(E238,Lists!$A$2:$B$6,2,FALSE),0))</f>
        <v/>
      </c>
      <c r="I238" s="10">
        <f>IF(OR(E238="",E238="Done",G238=""),"",$B$2-G238)</f>
        <v/>
      </c>
      <c r="J238" s="10">
        <f>IF(OR(E238="",E238="Done",H238=""),"",MAX(0,$B$2-H238))</f>
        <v/>
      </c>
      <c r="K238" s="10" t="inlineStr">
        <is>
          <t>Not started</t>
        </is>
      </c>
      <c r="L238" s="10" t="n"/>
      <c r="M238" s="11" t="n"/>
      <c r="N238" s="10" t="n">
        <v>0</v>
      </c>
      <c r="O238" s="11" t="n"/>
      <c r="P238" s="10" t="n">
        <v>8</v>
      </c>
    </row>
    <row r="239">
      <c r="A239" s="10" t="inlineStr">
        <is>
          <t>V-235</t>
        </is>
      </c>
      <c r="B239" s="10" t="n"/>
      <c r="C239" s="10" t="n"/>
      <c r="D239" s="10" t="n"/>
      <c r="E239" s="10" t="n"/>
      <c r="F239" s="10" t="n"/>
      <c r="G239" s="11" t="n"/>
      <c r="H239" s="11">
        <f>IF(OR(G239="",E239="Done"),"",G239+IFERROR(VLOOKUP(E239,Lists!$A$2:$B$6,2,FALSE),0))</f>
        <v/>
      </c>
      <c r="I239" s="10">
        <f>IF(OR(E239="",E239="Done",G239=""),"",$B$2-G239)</f>
        <v/>
      </c>
      <c r="J239" s="10">
        <f>IF(OR(E239="",E239="Done",H239=""),"",MAX(0,$B$2-H239))</f>
        <v/>
      </c>
      <c r="K239" s="10" t="inlineStr">
        <is>
          <t>Not started</t>
        </is>
      </c>
      <c r="L239" s="10" t="n"/>
      <c r="M239" s="11" t="n"/>
      <c r="N239" s="10" t="n">
        <v>0</v>
      </c>
      <c r="O239" s="11" t="n"/>
      <c r="P239" s="10" t="n">
        <v>8</v>
      </c>
    </row>
    <row r="240">
      <c r="A240" s="10" t="inlineStr">
        <is>
          <t>V-236</t>
        </is>
      </c>
      <c r="B240" s="10" t="n"/>
      <c r="C240" s="10" t="n"/>
      <c r="D240" s="10" t="n"/>
      <c r="E240" s="10" t="n"/>
      <c r="F240" s="10" t="n"/>
      <c r="G240" s="11" t="n"/>
      <c r="H240" s="11">
        <f>IF(OR(G240="",E240="Done"),"",G240+IFERROR(VLOOKUP(E240,Lists!$A$2:$B$6,2,FALSE),0))</f>
        <v/>
      </c>
      <c r="I240" s="10">
        <f>IF(OR(E240="",E240="Done",G240=""),"",$B$2-G240)</f>
        <v/>
      </c>
      <c r="J240" s="10">
        <f>IF(OR(E240="",E240="Done",H240=""),"",MAX(0,$B$2-H240))</f>
        <v/>
      </c>
      <c r="K240" s="10" t="inlineStr">
        <is>
          <t>Not started</t>
        </is>
      </c>
      <c r="L240" s="10" t="n"/>
      <c r="M240" s="11" t="n"/>
      <c r="N240" s="10" t="n">
        <v>0</v>
      </c>
      <c r="O240" s="11" t="n"/>
      <c r="P240" s="10" t="n">
        <v>8</v>
      </c>
    </row>
    <row r="241">
      <c r="A241" s="10" t="inlineStr">
        <is>
          <t>V-237</t>
        </is>
      </c>
      <c r="B241" s="10" t="n"/>
      <c r="C241" s="10" t="n"/>
      <c r="D241" s="10" t="n"/>
      <c r="E241" s="10" t="n"/>
      <c r="F241" s="10" t="n"/>
      <c r="G241" s="11" t="n"/>
      <c r="H241" s="11">
        <f>IF(OR(G241="",E241="Done"),"",G241+IFERROR(VLOOKUP(E241,Lists!$A$2:$B$6,2,FALSE),0))</f>
        <v/>
      </c>
      <c r="I241" s="10">
        <f>IF(OR(E241="",E241="Done",G241=""),"",$B$2-G241)</f>
        <v/>
      </c>
      <c r="J241" s="10">
        <f>IF(OR(E241="",E241="Done",H241=""),"",MAX(0,$B$2-H241))</f>
        <v/>
      </c>
      <c r="K241" s="10" t="inlineStr">
        <is>
          <t>Not started</t>
        </is>
      </c>
      <c r="L241" s="10" t="n"/>
      <c r="M241" s="11" t="n"/>
      <c r="N241" s="10" t="n">
        <v>0</v>
      </c>
      <c r="O241" s="11" t="n"/>
      <c r="P241" s="10" t="n">
        <v>8</v>
      </c>
    </row>
    <row r="242">
      <c r="A242" s="10" t="inlineStr">
        <is>
          <t>V-238</t>
        </is>
      </c>
      <c r="B242" s="10" t="n"/>
      <c r="C242" s="10" t="n"/>
      <c r="D242" s="10" t="n"/>
      <c r="E242" s="10" t="n"/>
      <c r="F242" s="10" t="n"/>
      <c r="G242" s="11" t="n"/>
      <c r="H242" s="11">
        <f>IF(OR(G242="",E242="Done"),"",G242+IFERROR(VLOOKUP(E242,Lists!$A$2:$B$6,2,FALSE),0))</f>
        <v/>
      </c>
      <c r="I242" s="10">
        <f>IF(OR(E242="",E242="Done",G242=""),"",$B$2-G242)</f>
        <v/>
      </c>
      <c r="J242" s="10">
        <f>IF(OR(E242="",E242="Done",H242=""),"",MAX(0,$B$2-H242))</f>
        <v/>
      </c>
      <c r="K242" s="10" t="inlineStr">
        <is>
          <t>Not started</t>
        </is>
      </c>
      <c r="L242" s="10" t="n"/>
      <c r="M242" s="11" t="n"/>
      <c r="N242" s="10" t="n">
        <v>0</v>
      </c>
      <c r="O242" s="11" t="n"/>
      <c r="P242" s="10" t="n">
        <v>8</v>
      </c>
    </row>
    <row r="243">
      <c r="A243" s="10" t="inlineStr">
        <is>
          <t>V-239</t>
        </is>
      </c>
      <c r="B243" s="10" t="n"/>
      <c r="C243" s="10" t="n"/>
      <c r="D243" s="10" t="n"/>
      <c r="E243" s="10" t="n"/>
      <c r="F243" s="10" t="n"/>
      <c r="G243" s="11" t="n"/>
      <c r="H243" s="11">
        <f>IF(OR(G243="",E243="Done"),"",G243+IFERROR(VLOOKUP(E243,Lists!$A$2:$B$6,2,FALSE),0))</f>
        <v/>
      </c>
      <c r="I243" s="10">
        <f>IF(OR(E243="",E243="Done",G243=""),"",$B$2-G243)</f>
        <v/>
      </c>
      <c r="J243" s="10">
        <f>IF(OR(E243="",E243="Done",H243=""),"",MAX(0,$B$2-H243))</f>
        <v/>
      </c>
      <c r="K243" s="10" t="inlineStr">
        <is>
          <t>Not started</t>
        </is>
      </c>
      <c r="L243" s="10" t="n"/>
      <c r="M243" s="11" t="n"/>
      <c r="N243" s="10" t="n">
        <v>0</v>
      </c>
      <c r="O243" s="11" t="n"/>
      <c r="P243" s="10" t="n">
        <v>8</v>
      </c>
    </row>
    <row r="244">
      <c r="A244" s="10" t="inlineStr">
        <is>
          <t>V-240</t>
        </is>
      </c>
      <c r="B244" s="10" t="n"/>
      <c r="C244" s="10" t="n"/>
      <c r="D244" s="10" t="n"/>
      <c r="E244" s="10" t="n"/>
      <c r="F244" s="10" t="n"/>
      <c r="G244" s="11" t="n"/>
      <c r="H244" s="11">
        <f>IF(OR(G244="",E244="Done"),"",G244+IFERROR(VLOOKUP(E244,Lists!$A$2:$B$6,2,FALSE),0))</f>
        <v/>
      </c>
      <c r="I244" s="10">
        <f>IF(OR(E244="",E244="Done",G244=""),"",$B$2-G244)</f>
        <v/>
      </c>
      <c r="J244" s="10">
        <f>IF(OR(E244="",E244="Done",H244=""),"",MAX(0,$B$2-H244))</f>
        <v/>
      </c>
      <c r="K244" s="10" t="inlineStr">
        <is>
          <t>Not started</t>
        </is>
      </c>
      <c r="L244" s="10" t="n"/>
      <c r="M244" s="11" t="n"/>
      <c r="N244" s="10" t="n">
        <v>0</v>
      </c>
      <c r="O244" s="11" t="n"/>
      <c r="P244" s="10" t="n">
        <v>8</v>
      </c>
    </row>
    <row r="245">
      <c r="A245" s="10" t="inlineStr">
        <is>
          <t>V-241</t>
        </is>
      </c>
      <c r="B245" s="10" t="n"/>
      <c r="C245" s="10" t="n"/>
      <c r="D245" s="10" t="n"/>
      <c r="E245" s="10" t="n"/>
      <c r="F245" s="10" t="n"/>
      <c r="G245" s="11" t="n"/>
      <c r="H245" s="11">
        <f>IF(OR(G245="",E245="Done"),"",G245+IFERROR(VLOOKUP(E245,Lists!$A$2:$B$6,2,FALSE),0))</f>
        <v/>
      </c>
      <c r="I245" s="10">
        <f>IF(OR(E245="",E245="Done",G245=""),"",$B$2-G245)</f>
        <v/>
      </c>
      <c r="J245" s="10">
        <f>IF(OR(E245="",E245="Done",H245=""),"",MAX(0,$B$2-H245))</f>
        <v/>
      </c>
      <c r="K245" s="10" t="inlineStr">
        <is>
          <t>Not started</t>
        </is>
      </c>
      <c r="L245" s="10" t="n"/>
      <c r="M245" s="11" t="n"/>
      <c r="N245" s="10" t="n">
        <v>0</v>
      </c>
      <c r="O245" s="11" t="n"/>
      <c r="P245" s="10" t="n">
        <v>9</v>
      </c>
    </row>
    <row r="246">
      <c r="A246" s="10" t="inlineStr">
        <is>
          <t>V-242</t>
        </is>
      </c>
      <c r="B246" s="10" t="n"/>
      <c r="C246" s="10" t="n"/>
      <c r="D246" s="10" t="n"/>
      <c r="E246" s="10" t="n"/>
      <c r="F246" s="10" t="n"/>
      <c r="G246" s="11" t="n"/>
      <c r="H246" s="11">
        <f>IF(OR(G246="",E246="Done"),"",G246+IFERROR(VLOOKUP(E246,Lists!$A$2:$B$6,2,FALSE),0))</f>
        <v/>
      </c>
      <c r="I246" s="10">
        <f>IF(OR(E246="",E246="Done",G246=""),"",$B$2-G246)</f>
        <v/>
      </c>
      <c r="J246" s="10">
        <f>IF(OR(E246="",E246="Done",H246=""),"",MAX(0,$B$2-H246))</f>
        <v/>
      </c>
      <c r="K246" s="10" t="inlineStr">
        <is>
          <t>Not started</t>
        </is>
      </c>
      <c r="L246" s="10" t="n"/>
      <c r="M246" s="11" t="n"/>
      <c r="N246" s="10" t="n">
        <v>0</v>
      </c>
      <c r="O246" s="11" t="n"/>
      <c r="P246" s="10" t="n">
        <v>9</v>
      </c>
    </row>
    <row r="247">
      <c r="A247" s="10" t="inlineStr">
        <is>
          <t>V-243</t>
        </is>
      </c>
      <c r="B247" s="10" t="n"/>
      <c r="C247" s="10" t="n"/>
      <c r="D247" s="10" t="n"/>
      <c r="E247" s="10" t="n"/>
      <c r="F247" s="10" t="n"/>
      <c r="G247" s="11" t="n"/>
      <c r="H247" s="11">
        <f>IF(OR(G247="",E247="Done"),"",G247+IFERROR(VLOOKUP(E247,Lists!$A$2:$B$6,2,FALSE),0))</f>
        <v/>
      </c>
      <c r="I247" s="10">
        <f>IF(OR(E247="",E247="Done",G247=""),"",$B$2-G247)</f>
        <v/>
      </c>
      <c r="J247" s="10">
        <f>IF(OR(E247="",E247="Done",H247=""),"",MAX(0,$B$2-H247))</f>
        <v/>
      </c>
      <c r="K247" s="10" t="inlineStr">
        <is>
          <t>Not started</t>
        </is>
      </c>
      <c r="L247" s="10" t="n"/>
      <c r="M247" s="11" t="n"/>
      <c r="N247" s="10" t="n">
        <v>0</v>
      </c>
      <c r="O247" s="11" t="n"/>
      <c r="P247" s="10" t="n">
        <v>9</v>
      </c>
    </row>
    <row r="248">
      <c r="A248" s="10" t="inlineStr">
        <is>
          <t>V-244</t>
        </is>
      </c>
      <c r="B248" s="10" t="n"/>
      <c r="C248" s="10" t="n"/>
      <c r="D248" s="10" t="n"/>
      <c r="E248" s="10" t="n"/>
      <c r="F248" s="10" t="n"/>
      <c r="G248" s="11" t="n"/>
      <c r="H248" s="11">
        <f>IF(OR(G248="",E248="Done"),"",G248+IFERROR(VLOOKUP(E248,Lists!$A$2:$B$6,2,FALSE),0))</f>
        <v/>
      </c>
      <c r="I248" s="10">
        <f>IF(OR(E248="",E248="Done",G248=""),"",$B$2-G248)</f>
        <v/>
      </c>
      <c r="J248" s="10">
        <f>IF(OR(E248="",E248="Done",H248=""),"",MAX(0,$B$2-H248))</f>
        <v/>
      </c>
      <c r="K248" s="10" t="inlineStr">
        <is>
          <t>Not started</t>
        </is>
      </c>
      <c r="L248" s="10" t="n"/>
      <c r="M248" s="11" t="n"/>
      <c r="N248" s="10" t="n">
        <v>0</v>
      </c>
      <c r="O248" s="11" t="n"/>
      <c r="P248" s="10" t="n">
        <v>9</v>
      </c>
    </row>
    <row r="249">
      <c r="A249" s="10" t="inlineStr">
        <is>
          <t>V-245</t>
        </is>
      </c>
      <c r="B249" s="10" t="n"/>
      <c r="C249" s="10" t="n"/>
      <c r="D249" s="10" t="n"/>
      <c r="E249" s="10" t="n"/>
      <c r="F249" s="10" t="n"/>
      <c r="G249" s="11" t="n"/>
      <c r="H249" s="11">
        <f>IF(OR(G249="",E249="Done"),"",G249+IFERROR(VLOOKUP(E249,Lists!$A$2:$B$6,2,FALSE),0))</f>
        <v/>
      </c>
      <c r="I249" s="10">
        <f>IF(OR(E249="",E249="Done",G249=""),"",$B$2-G249)</f>
        <v/>
      </c>
      <c r="J249" s="10">
        <f>IF(OR(E249="",E249="Done",H249=""),"",MAX(0,$B$2-H249))</f>
        <v/>
      </c>
      <c r="K249" s="10" t="inlineStr">
        <is>
          <t>Not started</t>
        </is>
      </c>
      <c r="L249" s="10" t="n"/>
      <c r="M249" s="11" t="n"/>
      <c r="N249" s="10" t="n">
        <v>0</v>
      </c>
      <c r="O249" s="11" t="n"/>
      <c r="P249" s="10" t="n">
        <v>9</v>
      </c>
    </row>
    <row r="250">
      <c r="A250" s="10" t="inlineStr">
        <is>
          <t>V-246</t>
        </is>
      </c>
      <c r="B250" s="10" t="n"/>
      <c r="C250" s="10" t="n"/>
      <c r="D250" s="10" t="n"/>
      <c r="E250" s="10" t="n"/>
      <c r="F250" s="10" t="n"/>
      <c r="G250" s="11" t="n"/>
      <c r="H250" s="11">
        <f>IF(OR(G250="",E250="Done"),"",G250+IFERROR(VLOOKUP(E250,Lists!$A$2:$B$6,2,FALSE),0))</f>
        <v/>
      </c>
      <c r="I250" s="10">
        <f>IF(OR(E250="",E250="Done",G250=""),"",$B$2-G250)</f>
        <v/>
      </c>
      <c r="J250" s="10">
        <f>IF(OR(E250="",E250="Done",H250=""),"",MAX(0,$B$2-H250))</f>
        <v/>
      </c>
      <c r="K250" s="10" t="inlineStr">
        <is>
          <t>Not started</t>
        </is>
      </c>
      <c r="L250" s="10" t="n"/>
      <c r="M250" s="11" t="n"/>
      <c r="N250" s="10" t="n">
        <v>0</v>
      </c>
      <c r="O250" s="11" t="n"/>
      <c r="P250" s="10" t="n">
        <v>9</v>
      </c>
    </row>
    <row r="251">
      <c r="A251" s="10" t="inlineStr">
        <is>
          <t>V-247</t>
        </is>
      </c>
      <c r="B251" s="10" t="n"/>
      <c r="C251" s="10" t="n"/>
      <c r="D251" s="10" t="n"/>
      <c r="E251" s="10" t="n"/>
      <c r="F251" s="10" t="n"/>
      <c r="G251" s="11" t="n"/>
      <c r="H251" s="11">
        <f>IF(OR(G251="",E251="Done"),"",G251+IFERROR(VLOOKUP(E251,Lists!$A$2:$B$6,2,FALSE),0))</f>
        <v/>
      </c>
      <c r="I251" s="10">
        <f>IF(OR(E251="",E251="Done",G251=""),"",$B$2-G251)</f>
        <v/>
      </c>
      <c r="J251" s="10">
        <f>IF(OR(E251="",E251="Done",H251=""),"",MAX(0,$B$2-H251))</f>
        <v/>
      </c>
      <c r="K251" s="10" t="inlineStr">
        <is>
          <t>Not started</t>
        </is>
      </c>
      <c r="L251" s="10" t="n"/>
      <c r="M251" s="11" t="n"/>
      <c r="N251" s="10" t="n">
        <v>0</v>
      </c>
      <c r="O251" s="11" t="n"/>
      <c r="P251" s="10" t="n">
        <v>9</v>
      </c>
    </row>
    <row r="252">
      <c r="A252" s="10" t="inlineStr">
        <is>
          <t>V-248</t>
        </is>
      </c>
      <c r="B252" s="10" t="n"/>
      <c r="C252" s="10" t="n"/>
      <c r="D252" s="10" t="n"/>
      <c r="E252" s="10" t="n"/>
      <c r="F252" s="10" t="n"/>
      <c r="G252" s="11" t="n"/>
      <c r="H252" s="11">
        <f>IF(OR(G252="",E252="Done"),"",G252+IFERROR(VLOOKUP(E252,Lists!$A$2:$B$6,2,FALSE),0))</f>
        <v/>
      </c>
      <c r="I252" s="10">
        <f>IF(OR(E252="",E252="Done",G252=""),"",$B$2-G252)</f>
        <v/>
      </c>
      <c r="J252" s="10">
        <f>IF(OR(E252="",E252="Done",H252=""),"",MAX(0,$B$2-H252))</f>
        <v/>
      </c>
      <c r="K252" s="10" t="inlineStr">
        <is>
          <t>Not started</t>
        </is>
      </c>
      <c r="L252" s="10" t="n"/>
      <c r="M252" s="11" t="n"/>
      <c r="N252" s="10" t="n">
        <v>0</v>
      </c>
      <c r="O252" s="11" t="n"/>
      <c r="P252" s="10" t="n">
        <v>9</v>
      </c>
    </row>
    <row r="253">
      <c r="A253" s="10" t="inlineStr">
        <is>
          <t>V-249</t>
        </is>
      </c>
      <c r="B253" s="10" t="n"/>
      <c r="C253" s="10" t="n"/>
      <c r="D253" s="10" t="n"/>
      <c r="E253" s="10" t="n"/>
      <c r="F253" s="10" t="n"/>
      <c r="G253" s="11" t="n"/>
      <c r="H253" s="11">
        <f>IF(OR(G253="",E253="Done"),"",G253+IFERROR(VLOOKUP(E253,Lists!$A$2:$B$6,2,FALSE),0))</f>
        <v/>
      </c>
      <c r="I253" s="10">
        <f>IF(OR(E253="",E253="Done",G253=""),"",$B$2-G253)</f>
        <v/>
      </c>
      <c r="J253" s="10">
        <f>IF(OR(E253="",E253="Done",H253=""),"",MAX(0,$B$2-H253))</f>
        <v/>
      </c>
      <c r="K253" s="10" t="inlineStr">
        <is>
          <t>Not started</t>
        </is>
      </c>
      <c r="L253" s="10" t="n"/>
      <c r="M253" s="11" t="n"/>
      <c r="N253" s="10" t="n">
        <v>0</v>
      </c>
      <c r="O253" s="11" t="n"/>
      <c r="P253" s="10" t="n">
        <v>9</v>
      </c>
    </row>
    <row r="254">
      <c r="A254" s="10" t="inlineStr">
        <is>
          <t>V-250</t>
        </is>
      </c>
      <c r="B254" s="10" t="n"/>
      <c r="C254" s="10" t="n"/>
      <c r="D254" s="10" t="n"/>
      <c r="E254" s="10" t="n"/>
      <c r="F254" s="10" t="n"/>
      <c r="G254" s="11" t="n"/>
      <c r="H254" s="11">
        <f>IF(OR(G254="",E254="Done"),"",G254+IFERROR(VLOOKUP(E254,Lists!$A$2:$B$6,2,FALSE),0))</f>
        <v/>
      </c>
      <c r="I254" s="10">
        <f>IF(OR(E254="",E254="Done",G254=""),"",$B$2-G254)</f>
        <v/>
      </c>
      <c r="J254" s="10">
        <f>IF(OR(E254="",E254="Done",H254=""),"",MAX(0,$B$2-H254))</f>
        <v/>
      </c>
      <c r="K254" s="10" t="inlineStr">
        <is>
          <t>Not started</t>
        </is>
      </c>
      <c r="L254" s="10" t="n"/>
      <c r="M254" s="11" t="n"/>
      <c r="N254" s="10" t="n">
        <v>0</v>
      </c>
      <c r="O254" s="11" t="n"/>
      <c r="P254" s="10" t="n">
        <v>9</v>
      </c>
    </row>
    <row r="255">
      <c r="A255" s="10" t="inlineStr">
        <is>
          <t>V-251</t>
        </is>
      </c>
      <c r="B255" s="10" t="n"/>
      <c r="C255" s="10" t="n"/>
      <c r="D255" s="10" t="n"/>
      <c r="E255" s="10" t="n"/>
      <c r="F255" s="10" t="n"/>
      <c r="G255" s="11" t="n"/>
      <c r="H255" s="11">
        <f>IF(OR(G255="",E255="Done"),"",G255+IFERROR(VLOOKUP(E255,Lists!$A$2:$B$6,2,FALSE),0))</f>
        <v/>
      </c>
      <c r="I255" s="10">
        <f>IF(OR(E255="",E255="Done",G255=""),"",$B$2-G255)</f>
        <v/>
      </c>
      <c r="J255" s="10">
        <f>IF(OR(E255="",E255="Done",H255=""),"",MAX(0,$B$2-H255))</f>
        <v/>
      </c>
      <c r="K255" s="10" t="inlineStr">
        <is>
          <t>Not started</t>
        </is>
      </c>
      <c r="L255" s="10" t="n"/>
      <c r="M255" s="11" t="n"/>
      <c r="N255" s="10" t="n">
        <v>0</v>
      </c>
      <c r="O255" s="11" t="n"/>
      <c r="P255" s="10" t="n">
        <v>9</v>
      </c>
    </row>
    <row r="256">
      <c r="A256" s="10" t="inlineStr">
        <is>
          <t>V-252</t>
        </is>
      </c>
      <c r="B256" s="10" t="n"/>
      <c r="C256" s="10" t="n"/>
      <c r="D256" s="10" t="n"/>
      <c r="E256" s="10" t="n"/>
      <c r="F256" s="10" t="n"/>
      <c r="G256" s="11" t="n"/>
      <c r="H256" s="11">
        <f>IF(OR(G256="",E256="Done"),"",G256+IFERROR(VLOOKUP(E256,Lists!$A$2:$B$6,2,FALSE),0))</f>
        <v/>
      </c>
      <c r="I256" s="10">
        <f>IF(OR(E256="",E256="Done",G256=""),"",$B$2-G256)</f>
        <v/>
      </c>
      <c r="J256" s="10">
        <f>IF(OR(E256="",E256="Done",H256=""),"",MAX(0,$B$2-H256))</f>
        <v/>
      </c>
      <c r="K256" s="10" t="inlineStr">
        <is>
          <t>Not started</t>
        </is>
      </c>
      <c r="L256" s="10" t="n"/>
      <c r="M256" s="11" t="n"/>
      <c r="N256" s="10" t="n">
        <v>0</v>
      </c>
      <c r="O256" s="11" t="n"/>
      <c r="P256" s="10" t="n">
        <v>9</v>
      </c>
    </row>
    <row r="257">
      <c r="A257" s="10" t="inlineStr">
        <is>
          <t>V-253</t>
        </is>
      </c>
      <c r="B257" s="10" t="n"/>
      <c r="C257" s="10" t="n"/>
      <c r="D257" s="10" t="n"/>
      <c r="E257" s="10" t="n"/>
      <c r="F257" s="10" t="n"/>
      <c r="G257" s="11" t="n"/>
      <c r="H257" s="11">
        <f>IF(OR(G257="",E257="Done"),"",G257+IFERROR(VLOOKUP(E257,Lists!$A$2:$B$6,2,FALSE),0))</f>
        <v/>
      </c>
      <c r="I257" s="10">
        <f>IF(OR(E257="",E257="Done",G257=""),"",$B$2-G257)</f>
        <v/>
      </c>
      <c r="J257" s="10">
        <f>IF(OR(E257="",E257="Done",H257=""),"",MAX(0,$B$2-H257))</f>
        <v/>
      </c>
      <c r="K257" s="10" t="inlineStr">
        <is>
          <t>Not started</t>
        </is>
      </c>
      <c r="L257" s="10" t="n"/>
      <c r="M257" s="11" t="n"/>
      <c r="N257" s="10" t="n">
        <v>0</v>
      </c>
      <c r="O257" s="11" t="n"/>
      <c r="P257" s="10" t="n">
        <v>9</v>
      </c>
    </row>
    <row r="258">
      <c r="A258" s="10" t="inlineStr">
        <is>
          <t>V-254</t>
        </is>
      </c>
      <c r="B258" s="10" t="n"/>
      <c r="C258" s="10" t="n"/>
      <c r="D258" s="10" t="n"/>
      <c r="E258" s="10" t="n"/>
      <c r="F258" s="10" t="n"/>
      <c r="G258" s="11" t="n"/>
      <c r="H258" s="11">
        <f>IF(OR(G258="",E258="Done"),"",G258+IFERROR(VLOOKUP(E258,Lists!$A$2:$B$6,2,FALSE),0))</f>
        <v/>
      </c>
      <c r="I258" s="10">
        <f>IF(OR(E258="",E258="Done",G258=""),"",$B$2-G258)</f>
        <v/>
      </c>
      <c r="J258" s="10">
        <f>IF(OR(E258="",E258="Done",H258=""),"",MAX(0,$B$2-H258))</f>
        <v/>
      </c>
      <c r="K258" s="10" t="inlineStr">
        <is>
          <t>Not started</t>
        </is>
      </c>
      <c r="L258" s="10" t="n"/>
      <c r="M258" s="11" t="n"/>
      <c r="N258" s="10" t="n">
        <v>0</v>
      </c>
      <c r="O258" s="11" t="n"/>
      <c r="P258" s="10" t="n">
        <v>9</v>
      </c>
    </row>
    <row r="259">
      <c r="A259" s="10" t="inlineStr">
        <is>
          <t>V-255</t>
        </is>
      </c>
      <c r="B259" s="10" t="n"/>
      <c r="C259" s="10" t="n"/>
      <c r="D259" s="10" t="n"/>
      <c r="E259" s="10" t="n"/>
      <c r="F259" s="10" t="n"/>
      <c r="G259" s="11" t="n"/>
      <c r="H259" s="11">
        <f>IF(OR(G259="",E259="Done"),"",G259+IFERROR(VLOOKUP(E259,Lists!$A$2:$B$6,2,FALSE),0))</f>
        <v/>
      </c>
      <c r="I259" s="10">
        <f>IF(OR(E259="",E259="Done",G259=""),"",$B$2-G259)</f>
        <v/>
      </c>
      <c r="J259" s="10">
        <f>IF(OR(E259="",E259="Done",H259=""),"",MAX(0,$B$2-H259))</f>
        <v/>
      </c>
      <c r="K259" s="10" t="inlineStr">
        <is>
          <t>Not started</t>
        </is>
      </c>
      <c r="L259" s="10" t="n"/>
      <c r="M259" s="11" t="n"/>
      <c r="N259" s="10" t="n">
        <v>0</v>
      </c>
      <c r="O259" s="11" t="n"/>
      <c r="P259" s="10" t="n">
        <v>9</v>
      </c>
    </row>
    <row r="260">
      <c r="A260" s="10" t="inlineStr">
        <is>
          <t>V-256</t>
        </is>
      </c>
      <c r="B260" s="10" t="n"/>
      <c r="C260" s="10" t="n"/>
      <c r="D260" s="10" t="n"/>
      <c r="E260" s="10" t="n"/>
      <c r="F260" s="10" t="n"/>
      <c r="G260" s="11" t="n"/>
      <c r="H260" s="11">
        <f>IF(OR(G260="",E260="Done"),"",G260+IFERROR(VLOOKUP(E260,Lists!$A$2:$B$6,2,FALSE),0))</f>
        <v/>
      </c>
      <c r="I260" s="10">
        <f>IF(OR(E260="",E260="Done",G260=""),"",$B$2-G260)</f>
        <v/>
      </c>
      <c r="J260" s="10">
        <f>IF(OR(E260="",E260="Done",H260=""),"",MAX(0,$B$2-H260))</f>
        <v/>
      </c>
      <c r="K260" s="10" t="inlineStr">
        <is>
          <t>Not started</t>
        </is>
      </c>
      <c r="L260" s="10" t="n"/>
      <c r="M260" s="11" t="n"/>
      <c r="N260" s="10" t="n">
        <v>0</v>
      </c>
      <c r="O260" s="11" t="n"/>
      <c r="P260" s="10" t="n">
        <v>9</v>
      </c>
    </row>
    <row r="261">
      <c r="A261" s="10" t="inlineStr">
        <is>
          <t>V-257</t>
        </is>
      </c>
      <c r="B261" s="10" t="n"/>
      <c r="C261" s="10" t="n"/>
      <c r="D261" s="10" t="n"/>
      <c r="E261" s="10" t="n"/>
      <c r="F261" s="10" t="n"/>
      <c r="G261" s="11" t="n"/>
      <c r="H261" s="11">
        <f>IF(OR(G261="",E261="Done"),"",G261+IFERROR(VLOOKUP(E261,Lists!$A$2:$B$6,2,FALSE),0))</f>
        <v/>
      </c>
      <c r="I261" s="10">
        <f>IF(OR(E261="",E261="Done",G261=""),"",$B$2-G261)</f>
        <v/>
      </c>
      <c r="J261" s="10">
        <f>IF(OR(E261="",E261="Done",H261=""),"",MAX(0,$B$2-H261))</f>
        <v/>
      </c>
      <c r="K261" s="10" t="inlineStr">
        <is>
          <t>Not started</t>
        </is>
      </c>
      <c r="L261" s="10" t="n"/>
      <c r="M261" s="11" t="n"/>
      <c r="N261" s="10" t="n">
        <v>0</v>
      </c>
      <c r="O261" s="11" t="n"/>
      <c r="P261" s="10" t="n">
        <v>9</v>
      </c>
    </row>
    <row r="262">
      <c r="A262" s="10" t="inlineStr">
        <is>
          <t>V-258</t>
        </is>
      </c>
      <c r="B262" s="10" t="n"/>
      <c r="C262" s="10" t="n"/>
      <c r="D262" s="10" t="n"/>
      <c r="E262" s="10" t="n"/>
      <c r="F262" s="10" t="n"/>
      <c r="G262" s="11" t="n"/>
      <c r="H262" s="11">
        <f>IF(OR(G262="",E262="Done"),"",G262+IFERROR(VLOOKUP(E262,Lists!$A$2:$B$6,2,FALSE),0))</f>
        <v/>
      </c>
      <c r="I262" s="10">
        <f>IF(OR(E262="",E262="Done",G262=""),"",$B$2-G262)</f>
        <v/>
      </c>
      <c r="J262" s="10">
        <f>IF(OR(E262="",E262="Done",H262=""),"",MAX(0,$B$2-H262))</f>
        <v/>
      </c>
      <c r="K262" s="10" t="inlineStr">
        <is>
          <t>Not started</t>
        </is>
      </c>
      <c r="L262" s="10" t="n"/>
      <c r="M262" s="11" t="n"/>
      <c r="N262" s="10" t="n">
        <v>0</v>
      </c>
      <c r="O262" s="11" t="n"/>
      <c r="P262" s="10" t="n">
        <v>9</v>
      </c>
    </row>
    <row r="263">
      <c r="A263" s="10" t="inlineStr">
        <is>
          <t>V-259</t>
        </is>
      </c>
      <c r="B263" s="10" t="n"/>
      <c r="C263" s="10" t="n"/>
      <c r="D263" s="10" t="n"/>
      <c r="E263" s="10" t="n"/>
      <c r="F263" s="10" t="n"/>
      <c r="G263" s="11" t="n"/>
      <c r="H263" s="11">
        <f>IF(OR(G263="",E263="Done"),"",G263+IFERROR(VLOOKUP(E263,Lists!$A$2:$B$6,2,FALSE),0))</f>
        <v/>
      </c>
      <c r="I263" s="10">
        <f>IF(OR(E263="",E263="Done",G263=""),"",$B$2-G263)</f>
        <v/>
      </c>
      <c r="J263" s="10">
        <f>IF(OR(E263="",E263="Done",H263=""),"",MAX(0,$B$2-H263))</f>
        <v/>
      </c>
      <c r="K263" s="10" t="inlineStr">
        <is>
          <t>Not started</t>
        </is>
      </c>
      <c r="L263" s="10" t="n"/>
      <c r="M263" s="11" t="n"/>
      <c r="N263" s="10" t="n">
        <v>0</v>
      </c>
      <c r="O263" s="11" t="n"/>
      <c r="P263" s="10" t="n">
        <v>9</v>
      </c>
    </row>
    <row r="264">
      <c r="A264" s="10" t="inlineStr">
        <is>
          <t>V-260</t>
        </is>
      </c>
      <c r="B264" s="10" t="n"/>
      <c r="C264" s="10" t="n"/>
      <c r="D264" s="10" t="n"/>
      <c r="E264" s="10" t="n"/>
      <c r="F264" s="10" t="n"/>
      <c r="G264" s="11" t="n"/>
      <c r="H264" s="11">
        <f>IF(OR(G264="",E264="Done"),"",G264+IFERROR(VLOOKUP(E264,Lists!$A$2:$B$6,2,FALSE),0))</f>
        <v/>
      </c>
      <c r="I264" s="10">
        <f>IF(OR(E264="",E264="Done",G264=""),"",$B$2-G264)</f>
        <v/>
      </c>
      <c r="J264" s="10">
        <f>IF(OR(E264="",E264="Done",H264=""),"",MAX(0,$B$2-H264))</f>
        <v/>
      </c>
      <c r="K264" s="10" t="inlineStr">
        <is>
          <t>Not started</t>
        </is>
      </c>
      <c r="L264" s="10" t="n"/>
      <c r="M264" s="11" t="n"/>
      <c r="N264" s="10" t="n">
        <v>0</v>
      </c>
      <c r="O264" s="11" t="n"/>
      <c r="P264" s="10" t="n">
        <v>9</v>
      </c>
    </row>
    <row r="265">
      <c r="A265" s="10" t="inlineStr">
        <is>
          <t>V-261</t>
        </is>
      </c>
      <c r="B265" s="10" t="n"/>
      <c r="C265" s="10" t="n"/>
      <c r="D265" s="10" t="n"/>
      <c r="E265" s="10" t="n"/>
      <c r="F265" s="10" t="n"/>
      <c r="G265" s="11" t="n"/>
      <c r="H265" s="11">
        <f>IF(OR(G265="",E265="Done"),"",G265+IFERROR(VLOOKUP(E265,Lists!$A$2:$B$6,2,FALSE),0))</f>
        <v/>
      </c>
      <c r="I265" s="10">
        <f>IF(OR(E265="",E265="Done",G265=""),"",$B$2-G265)</f>
        <v/>
      </c>
      <c r="J265" s="10">
        <f>IF(OR(E265="",E265="Done",H265=""),"",MAX(0,$B$2-H265))</f>
        <v/>
      </c>
      <c r="K265" s="10" t="inlineStr">
        <is>
          <t>Not started</t>
        </is>
      </c>
      <c r="L265" s="10" t="n"/>
      <c r="M265" s="11" t="n"/>
      <c r="N265" s="10" t="n">
        <v>0</v>
      </c>
      <c r="O265" s="11" t="n"/>
      <c r="P265" s="10" t="n">
        <v>9</v>
      </c>
    </row>
    <row r="266">
      <c r="A266" s="10" t="inlineStr">
        <is>
          <t>V-262</t>
        </is>
      </c>
      <c r="B266" s="10" t="n"/>
      <c r="C266" s="10" t="n"/>
      <c r="D266" s="10" t="n"/>
      <c r="E266" s="10" t="n"/>
      <c r="F266" s="10" t="n"/>
      <c r="G266" s="11" t="n"/>
      <c r="H266" s="11">
        <f>IF(OR(G266="",E266="Done"),"",G266+IFERROR(VLOOKUP(E266,Lists!$A$2:$B$6,2,FALSE),0))</f>
        <v/>
      </c>
      <c r="I266" s="10">
        <f>IF(OR(E266="",E266="Done",G266=""),"",$B$2-G266)</f>
        <v/>
      </c>
      <c r="J266" s="10">
        <f>IF(OR(E266="",E266="Done",H266=""),"",MAX(0,$B$2-H266))</f>
        <v/>
      </c>
      <c r="K266" s="10" t="inlineStr">
        <is>
          <t>Not started</t>
        </is>
      </c>
      <c r="L266" s="10" t="n"/>
      <c r="M266" s="11" t="n"/>
      <c r="N266" s="10" t="n">
        <v>0</v>
      </c>
      <c r="O266" s="11" t="n"/>
      <c r="P266" s="10" t="n">
        <v>9</v>
      </c>
    </row>
    <row r="267">
      <c r="A267" s="10" t="inlineStr">
        <is>
          <t>V-263</t>
        </is>
      </c>
      <c r="B267" s="10" t="n"/>
      <c r="C267" s="10" t="n"/>
      <c r="D267" s="10" t="n"/>
      <c r="E267" s="10" t="n"/>
      <c r="F267" s="10" t="n"/>
      <c r="G267" s="11" t="n"/>
      <c r="H267" s="11">
        <f>IF(OR(G267="",E267="Done"),"",G267+IFERROR(VLOOKUP(E267,Lists!$A$2:$B$6,2,FALSE),0))</f>
        <v/>
      </c>
      <c r="I267" s="10">
        <f>IF(OR(E267="",E267="Done",G267=""),"",$B$2-G267)</f>
        <v/>
      </c>
      <c r="J267" s="10">
        <f>IF(OR(E267="",E267="Done",H267=""),"",MAX(0,$B$2-H267))</f>
        <v/>
      </c>
      <c r="K267" s="10" t="inlineStr">
        <is>
          <t>Not started</t>
        </is>
      </c>
      <c r="L267" s="10" t="n"/>
      <c r="M267" s="11" t="n"/>
      <c r="N267" s="10" t="n">
        <v>0</v>
      </c>
      <c r="O267" s="11" t="n"/>
      <c r="P267" s="10" t="n">
        <v>9</v>
      </c>
    </row>
    <row r="268">
      <c r="A268" s="10" t="inlineStr">
        <is>
          <t>V-264</t>
        </is>
      </c>
      <c r="B268" s="10" t="n"/>
      <c r="C268" s="10" t="n"/>
      <c r="D268" s="10" t="n"/>
      <c r="E268" s="10" t="n"/>
      <c r="F268" s="10" t="n"/>
      <c r="G268" s="11" t="n"/>
      <c r="H268" s="11">
        <f>IF(OR(G268="",E268="Done"),"",G268+IFERROR(VLOOKUP(E268,Lists!$A$2:$B$6,2,FALSE),0))</f>
        <v/>
      </c>
      <c r="I268" s="10">
        <f>IF(OR(E268="",E268="Done",G268=""),"",$B$2-G268)</f>
        <v/>
      </c>
      <c r="J268" s="10">
        <f>IF(OR(E268="",E268="Done",H268=""),"",MAX(0,$B$2-H268))</f>
        <v/>
      </c>
      <c r="K268" s="10" t="inlineStr">
        <is>
          <t>Not started</t>
        </is>
      </c>
      <c r="L268" s="10" t="n"/>
      <c r="M268" s="11" t="n"/>
      <c r="N268" s="10" t="n">
        <v>0</v>
      </c>
      <c r="O268" s="11" t="n"/>
      <c r="P268" s="10" t="n">
        <v>9</v>
      </c>
    </row>
    <row r="269">
      <c r="A269" s="10" t="inlineStr">
        <is>
          <t>V-265</t>
        </is>
      </c>
      <c r="B269" s="10" t="n"/>
      <c r="C269" s="10" t="n"/>
      <c r="D269" s="10" t="n"/>
      <c r="E269" s="10" t="n"/>
      <c r="F269" s="10" t="n"/>
      <c r="G269" s="11" t="n"/>
      <c r="H269" s="11">
        <f>IF(OR(G269="",E269="Done"),"",G269+IFERROR(VLOOKUP(E269,Lists!$A$2:$B$6,2,FALSE),0))</f>
        <v/>
      </c>
      <c r="I269" s="10">
        <f>IF(OR(E269="",E269="Done",G269=""),"",$B$2-G269)</f>
        <v/>
      </c>
      <c r="J269" s="10">
        <f>IF(OR(E269="",E269="Done",H269=""),"",MAX(0,$B$2-H269))</f>
        <v/>
      </c>
      <c r="K269" s="10" t="inlineStr">
        <is>
          <t>Not started</t>
        </is>
      </c>
      <c r="L269" s="10" t="n"/>
      <c r="M269" s="11" t="n"/>
      <c r="N269" s="10" t="n">
        <v>0</v>
      </c>
      <c r="O269" s="11" t="n"/>
      <c r="P269" s="10" t="n">
        <v>9</v>
      </c>
    </row>
    <row r="270">
      <c r="A270" s="10" t="inlineStr">
        <is>
          <t>V-266</t>
        </is>
      </c>
      <c r="B270" s="10" t="n"/>
      <c r="C270" s="10" t="n"/>
      <c r="D270" s="10" t="n"/>
      <c r="E270" s="10" t="n"/>
      <c r="F270" s="10" t="n"/>
      <c r="G270" s="11" t="n"/>
      <c r="H270" s="11">
        <f>IF(OR(G270="",E270="Done"),"",G270+IFERROR(VLOOKUP(E270,Lists!$A$2:$B$6,2,FALSE),0))</f>
        <v/>
      </c>
      <c r="I270" s="10">
        <f>IF(OR(E270="",E270="Done",G270=""),"",$B$2-G270)</f>
        <v/>
      </c>
      <c r="J270" s="10">
        <f>IF(OR(E270="",E270="Done",H270=""),"",MAX(0,$B$2-H270))</f>
        <v/>
      </c>
      <c r="K270" s="10" t="inlineStr">
        <is>
          <t>Not started</t>
        </is>
      </c>
      <c r="L270" s="10" t="n"/>
      <c r="M270" s="11" t="n"/>
      <c r="N270" s="10" t="n">
        <v>0</v>
      </c>
      <c r="O270" s="11" t="n"/>
      <c r="P270" s="10" t="n">
        <v>9</v>
      </c>
    </row>
    <row r="271">
      <c r="A271" s="10" t="inlineStr">
        <is>
          <t>V-267</t>
        </is>
      </c>
      <c r="B271" s="10" t="n"/>
      <c r="C271" s="10" t="n"/>
      <c r="D271" s="10" t="n"/>
      <c r="E271" s="10" t="n"/>
      <c r="F271" s="10" t="n"/>
      <c r="G271" s="11" t="n"/>
      <c r="H271" s="11">
        <f>IF(OR(G271="",E271="Done"),"",G271+IFERROR(VLOOKUP(E271,Lists!$A$2:$B$6,2,FALSE),0))</f>
        <v/>
      </c>
      <c r="I271" s="10">
        <f>IF(OR(E271="",E271="Done",G271=""),"",$B$2-G271)</f>
        <v/>
      </c>
      <c r="J271" s="10">
        <f>IF(OR(E271="",E271="Done",H271=""),"",MAX(0,$B$2-H271))</f>
        <v/>
      </c>
      <c r="K271" s="10" t="inlineStr">
        <is>
          <t>Not started</t>
        </is>
      </c>
      <c r="L271" s="10" t="n"/>
      <c r="M271" s="11" t="n"/>
      <c r="N271" s="10" t="n">
        <v>0</v>
      </c>
      <c r="O271" s="11" t="n"/>
      <c r="P271" s="10" t="n">
        <v>9</v>
      </c>
    </row>
    <row r="272">
      <c r="A272" s="10" t="inlineStr">
        <is>
          <t>V-268</t>
        </is>
      </c>
      <c r="B272" s="10" t="n"/>
      <c r="C272" s="10" t="n"/>
      <c r="D272" s="10" t="n"/>
      <c r="E272" s="10" t="n"/>
      <c r="F272" s="10" t="n"/>
      <c r="G272" s="11" t="n"/>
      <c r="H272" s="11">
        <f>IF(OR(G272="",E272="Done"),"",G272+IFERROR(VLOOKUP(E272,Lists!$A$2:$B$6,2,FALSE),0))</f>
        <v/>
      </c>
      <c r="I272" s="10">
        <f>IF(OR(E272="",E272="Done",G272=""),"",$B$2-G272)</f>
        <v/>
      </c>
      <c r="J272" s="10">
        <f>IF(OR(E272="",E272="Done",H272=""),"",MAX(0,$B$2-H272))</f>
        <v/>
      </c>
      <c r="K272" s="10" t="inlineStr">
        <is>
          <t>Not started</t>
        </is>
      </c>
      <c r="L272" s="10" t="n"/>
      <c r="M272" s="11" t="n"/>
      <c r="N272" s="10" t="n">
        <v>0</v>
      </c>
      <c r="O272" s="11" t="n"/>
      <c r="P272" s="10" t="n">
        <v>9</v>
      </c>
    </row>
    <row r="273">
      <c r="A273" s="10" t="inlineStr">
        <is>
          <t>V-269</t>
        </is>
      </c>
      <c r="B273" s="10" t="n"/>
      <c r="C273" s="10" t="n"/>
      <c r="D273" s="10" t="n"/>
      <c r="E273" s="10" t="n"/>
      <c r="F273" s="10" t="n"/>
      <c r="G273" s="11" t="n"/>
      <c r="H273" s="11">
        <f>IF(OR(G273="",E273="Done"),"",G273+IFERROR(VLOOKUP(E273,Lists!$A$2:$B$6,2,FALSE),0))</f>
        <v/>
      </c>
      <c r="I273" s="10">
        <f>IF(OR(E273="",E273="Done",G273=""),"",$B$2-G273)</f>
        <v/>
      </c>
      <c r="J273" s="10">
        <f>IF(OR(E273="",E273="Done",H273=""),"",MAX(0,$B$2-H273))</f>
        <v/>
      </c>
      <c r="K273" s="10" t="inlineStr">
        <is>
          <t>Not started</t>
        </is>
      </c>
      <c r="L273" s="10" t="n"/>
      <c r="M273" s="11" t="n"/>
      <c r="N273" s="10" t="n">
        <v>0</v>
      </c>
      <c r="O273" s="11" t="n"/>
      <c r="P273" s="10" t="n">
        <v>9</v>
      </c>
    </row>
    <row r="274">
      <c r="A274" s="10" t="inlineStr">
        <is>
          <t>V-270</t>
        </is>
      </c>
      <c r="B274" s="10" t="n"/>
      <c r="C274" s="10" t="n"/>
      <c r="D274" s="10" t="n"/>
      <c r="E274" s="10" t="n"/>
      <c r="F274" s="10" t="n"/>
      <c r="G274" s="11" t="n"/>
      <c r="H274" s="11">
        <f>IF(OR(G274="",E274="Done"),"",G274+IFERROR(VLOOKUP(E274,Lists!$A$2:$B$6,2,FALSE),0))</f>
        <v/>
      </c>
      <c r="I274" s="10">
        <f>IF(OR(E274="",E274="Done",G274=""),"",$B$2-G274)</f>
        <v/>
      </c>
      <c r="J274" s="10">
        <f>IF(OR(E274="",E274="Done",H274=""),"",MAX(0,$B$2-H274))</f>
        <v/>
      </c>
      <c r="K274" s="10" t="inlineStr">
        <is>
          <t>Not started</t>
        </is>
      </c>
      <c r="L274" s="10" t="n"/>
      <c r="M274" s="11" t="n"/>
      <c r="N274" s="10" t="n">
        <v>0</v>
      </c>
      <c r="O274" s="11" t="n"/>
      <c r="P274" s="10" t="n">
        <v>9</v>
      </c>
    </row>
    <row r="275">
      <c r="A275" s="10" t="inlineStr">
        <is>
          <t>V-271</t>
        </is>
      </c>
      <c r="B275" s="10" t="n"/>
      <c r="C275" s="10" t="n"/>
      <c r="D275" s="10" t="n"/>
      <c r="E275" s="10" t="n"/>
      <c r="F275" s="10" t="n"/>
      <c r="G275" s="11" t="n"/>
      <c r="H275" s="11">
        <f>IF(OR(G275="",E275="Done"),"",G275+IFERROR(VLOOKUP(E275,Lists!$A$2:$B$6,2,FALSE),0))</f>
        <v/>
      </c>
      <c r="I275" s="10">
        <f>IF(OR(E275="",E275="Done",G275=""),"",$B$2-G275)</f>
        <v/>
      </c>
      <c r="J275" s="10">
        <f>IF(OR(E275="",E275="Done",H275=""),"",MAX(0,$B$2-H275))</f>
        <v/>
      </c>
      <c r="K275" s="10" t="inlineStr">
        <is>
          <t>Not started</t>
        </is>
      </c>
      <c r="L275" s="10" t="n"/>
      <c r="M275" s="11" t="n"/>
      <c r="N275" s="10" t="n">
        <v>0</v>
      </c>
      <c r="O275" s="11" t="n"/>
      <c r="P275" s="10" t="n">
        <v>10</v>
      </c>
    </row>
    <row r="276">
      <c r="A276" s="10" t="inlineStr">
        <is>
          <t>V-272</t>
        </is>
      </c>
      <c r="B276" s="10" t="n"/>
      <c r="C276" s="10" t="n"/>
      <c r="D276" s="10" t="n"/>
      <c r="E276" s="10" t="n"/>
      <c r="F276" s="10" t="n"/>
      <c r="G276" s="11" t="n"/>
      <c r="H276" s="11">
        <f>IF(OR(G276="",E276="Done"),"",G276+IFERROR(VLOOKUP(E276,Lists!$A$2:$B$6,2,FALSE),0))</f>
        <v/>
      </c>
      <c r="I276" s="10">
        <f>IF(OR(E276="",E276="Done",G276=""),"",$B$2-G276)</f>
        <v/>
      </c>
      <c r="J276" s="10">
        <f>IF(OR(E276="",E276="Done",H276=""),"",MAX(0,$B$2-H276))</f>
        <v/>
      </c>
      <c r="K276" s="10" t="inlineStr">
        <is>
          <t>Not started</t>
        </is>
      </c>
      <c r="L276" s="10" t="n"/>
      <c r="M276" s="11" t="n"/>
      <c r="N276" s="10" t="n">
        <v>0</v>
      </c>
      <c r="O276" s="11" t="n"/>
      <c r="P276" s="10" t="n">
        <v>10</v>
      </c>
    </row>
    <row r="277">
      <c r="A277" s="10" t="inlineStr">
        <is>
          <t>V-273</t>
        </is>
      </c>
      <c r="B277" s="10" t="n"/>
      <c r="C277" s="10" t="n"/>
      <c r="D277" s="10" t="n"/>
      <c r="E277" s="10" t="n"/>
      <c r="F277" s="10" t="n"/>
      <c r="G277" s="11" t="n"/>
      <c r="H277" s="11">
        <f>IF(OR(G277="",E277="Done"),"",G277+IFERROR(VLOOKUP(E277,Lists!$A$2:$B$6,2,FALSE),0))</f>
        <v/>
      </c>
      <c r="I277" s="10">
        <f>IF(OR(E277="",E277="Done",G277=""),"",$B$2-G277)</f>
        <v/>
      </c>
      <c r="J277" s="10">
        <f>IF(OR(E277="",E277="Done",H277=""),"",MAX(0,$B$2-H277))</f>
        <v/>
      </c>
      <c r="K277" s="10" t="inlineStr">
        <is>
          <t>Not started</t>
        </is>
      </c>
      <c r="L277" s="10" t="n"/>
      <c r="M277" s="11" t="n"/>
      <c r="N277" s="10" t="n">
        <v>0</v>
      </c>
      <c r="O277" s="11" t="n"/>
      <c r="P277" s="10" t="n">
        <v>10</v>
      </c>
    </row>
    <row r="278">
      <c r="A278" s="10" t="inlineStr">
        <is>
          <t>V-274</t>
        </is>
      </c>
      <c r="B278" s="10" t="n"/>
      <c r="C278" s="10" t="n"/>
      <c r="D278" s="10" t="n"/>
      <c r="E278" s="10" t="n"/>
      <c r="F278" s="10" t="n"/>
      <c r="G278" s="11" t="n"/>
      <c r="H278" s="11">
        <f>IF(OR(G278="",E278="Done"),"",G278+IFERROR(VLOOKUP(E278,Lists!$A$2:$B$6,2,FALSE),0))</f>
        <v/>
      </c>
      <c r="I278" s="10">
        <f>IF(OR(E278="",E278="Done",G278=""),"",$B$2-G278)</f>
        <v/>
      </c>
      <c r="J278" s="10">
        <f>IF(OR(E278="",E278="Done",H278=""),"",MAX(0,$B$2-H278))</f>
        <v/>
      </c>
      <c r="K278" s="10" t="inlineStr">
        <is>
          <t>Not started</t>
        </is>
      </c>
      <c r="L278" s="10" t="n"/>
      <c r="M278" s="11" t="n"/>
      <c r="N278" s="10" t="n">
        <v>0</v>
      </c>
      <c r="O278" s="11" t="n"/>
      <c r="P278" s="10" t="n">
        <v>10</v>
      </c>
    </row>
    <row r="279">
      <c r="A279" s="10" t="inlineStr">
        <is>
          <t>V-275</t>
        </is>
      </c>
      <c r="B279" s="10" t="n"/>
      <c r="C279" s="10" t="n"/>
      <c r="D279" s="10" t="n"/>
      <c r="E279" s="10" t="n"/>
      <c r="F279" s="10" t="n"/>
      <c r="G279" s="11" t="n"/>
      <c r="H279" s="11">
        <f>IF(OR(G279="",E279="Done"),"",G279+IFERROR(VLOOKUP(E279,Lists!$A$2:$B$6,2,FALSE),0))</f>
        <v/>
      </c>
      <c r="I279" s="10">
        <f>IF(OR(E279="",E279="Done",G279=""),"",$B$2-G279)</f>
        <v/>
      </c>
      <c r="J279" s="10">
        <f>IF(OR(E279="",E279="Done",H279=""),"",MAX(0,$B$2-H279))</f>
        <v/>
      </c>
      <c r="K279" s="10" t="inlineStr">
        <is>
          <t>Not started</t>
        </is>
      </c>
      <c r="L279" s="10" t="n"/>
      <c r="M279" s="11" t="n"/>
      <c r="N279" s="10" t="n">
        <v>0</v>
      </c>
      <c r="O279" s="11" t="n"/>
      <c r="P279" s="10" t="n">
        <v>10</v>
      </c>
    </row>
    <row r="280">
      <c r="A280" s="10" t="inlineStr">
        <is>
          <t>V-276</t>
        </is>
      </c>
      <c r="B280" s="10" t="n"/>
      <c r="C280" s="10" t="n"/>
      <c r="D280" s="10" t="n"/>
      <c r="E280" s="10" t="n"/>
      <c r="F280" s="10" t="n"/>
      <c r="G280" s="11" t="n"/>
      <c r="H280" s="11">
        <f>IF(OR(G280="",E280="Done"),"",G280+IFERROR(VLOOKUP(E280,Lists!$A$2:$B$6,2,FALSE),0))</f>
        <v/>
      </c>
      <c r="I280" s="10">
        <f>IF(OR(E280="",E280="Done",G280=""),"",$B$2-G280)</f>
        <v/>
      </c>
      <c r="J280" s="10">
        <f>IF(OR(E280="",E280="Done",H280=""),"",MAX(0,$B$2-H280))</f>
        <v/>
      </c>
      <c r="K280" s="10" t="inlineStr">
        <is>
          <t>Not started</t>
        </is>
      </c>
      <c r="L280" s="10" t="n"/>
      <c r="M280" s="11" t="n"/>
      <c r="N280" s="10" t="n">
        <v>0</v>
      </c>
      <c r="O280" s="11" t="n"/>
      <c r="P280" s="10" t="n">
        <v>10</v>
      </c>
    </row>
    <row r="281">
      <c r="A281" s="10" t="inlineStr">
        <is>
          <t>V-277</t>
        </is>
      </c>
      <c r="B281" s="10" t="n"/>
      <c r="C281" s="10" t="n"/>
      <c r="D281" s="10" t="n"/>
      <c r="E281" s="10" t="n"/>
      <c r="F281" s="10" t="n"/>
      <c r="G281" s="11" t="n"/>
      <c r="H281" s="11">
        <f>IF(OR(G281="",E281="Done"),"",G281+IFERROR(VLOOKUP(E281,Lists!$A$2:$B$6,2,FALSE),0))</f>
        <v/>
      </c>
      <c r="I281" s="10">
        <f>IF(OR(E281="",E281="Done",G281=""),"",$B$2-G281)</f>
        <v/>
      </c>
      <c r="J281" s="10">
        <f>IF(OR(E281="",E281="Done",H281=""),"",MAX(0,$B$2-H281))</f>
        <v/>
      </c>
      <c r="K281" s="10" t="inlineStr">
        <is>
          <t>Not started</t>
        </is>
      </c>
      <c r="L281" s="10" t="n"/>
      <c r="M281" s="11" t="n"/>
      <c r="N281" s="10" t="n">
        <v>0</v>
      </c>
      <c r="O281" s="11" t="n"/>
      <c r="P281" s="10" t="n">
        <v>10</v>
      </c>
    </row>
    <row r="282">
      <c r="A282" s="10" t="inlineStr">
        <is>
          <t>V-278</t>
        </is>
      </c>
      <c r="B282" s="10" t="n"/>
      <c r="C282" s="10" t="n"/>
      <c r="D282" s="10" t="n"/>
      <c r="E282" s="10" t="n"/>
      <c r="F282" s="10" t="n"/>
      <c r="G282" s="11" t="n"/>
      <c r="H282" s="11">
        <f>IF(OR(G282="",E282="Done"),"",G282+IFERROR(VLOOKUP(E282,Lists!$A$2:$B$6,2,FALSE),0))</f>
        <v/>
      </c>
      <c r="I282" s="10">
        <f>IF(OR(E282="",E282="Done",G282=""),"",$B$2-G282)</f>
        <v/>
      </c>
      <c r="J282" s="10">
        <f>IF(OR(E282="",E282="Done",H282=""),"",MAX(0,$B$2-H282))</f>
        <v/>
      </c>
      <c r="K282" s="10" t="inlineStr">
        <is>
          <t>Not started</t>
        </is>
      </c>
      <c r="L282" s="10" t="n"/>
      <c r="M282" s="11" t="n"/>
      <c r="N282" s="10" t="n">
        <v>0</v>
      </c>
      <c r="O282" s="11" t="n"/>
      <c r="P282" s="10" t="n">
        <v>10</v>
      </c>
    </row>
    <row r="283">
      <c r="A283" s="10" t="inlineStr">
        <is>
          <t>V-279</t>
        </is>
      </c>
      <c r="B283" s="10" t="n"/>
      <c r="C283" s="10" t="n"/>
      <c r="D283" s="10" t="n"/>
      <c r="E283" s="10" t="n"/>
      <c r="F283" s="10" t="n"/>
      <c r="G283" s="11" t="n"/>
      <c r="H283" s="11">
        <f>IF(OR(G283="",E283="Done"),"",G283+IFERROR(VLOOKUP(E283,Lists!$A$2:$B$6,2,FALSE),0))</f>
        <v/>
      </c>
      <c r="I283" s="10">
        <f>IF(OR(E283="",E283="Done",G283=""),"",$B$2-G283)</f>
        <v/>
      </c>
      <c r="J283" s="10">
        <f>IF(OR(E283="",E283="Done",H283=""),"",MAX(0,$B$2-H283))</f>
        <v/>
      </c>
      <c r="K283" s="10" t="inlineStr">
        <is>
          <t>Not started</t>
        </is>
      </c>
      <c r="L283" s="10" t="n"/>
      <c r="M283" s="11" t="n"/>
      <c r="N283" s="10" t="n">
        <v>0</v>
      </c>
      <c r="O283" s="11" t="n"/>
      <c r="P283" s="10" t="n">
        <v>10</v>
      </c>
    </row>
    <row r="284">
      <c r="A284" s="10" t="inlineStr">
        <is>
          <t>V-280</t>
        </is>
      </c>
      <c r="B284" s="10" t="n"/>
      <c r="C284" s="10" t="n"/>
      <c r="D284" s="10" t="n"/>
      <c r="E284" s="10" t="n"/>
      <c r="F284" s="10" t="n"/>
      <c r="G284" s="11" t="n"/>
      <c r="H284" s="11">
        <f>IF(OR(G284="",E284="Done"),"",G284+IFERROR(VLOOKUP(E284,Lists!$A$2:$B$6,2,FALSE),0))</f>
        <v/>
      </c>
      <c r="I284" s="10">
        <f>IF(OR(E284="",E284="Done",G284=""),"",$B$2-G284)</f>
        <v/>
      </c>
      <c r="J284" s="10">
        <f>IF(OR(E284="",E284="Done",H284=""),"",MAX(0,$B$2-H284))</f>
        <v/>
      </c>
      <c r="K284" s="10" t="inlineStr">
        <is>
          <t>Not started</t>
        </is>
      </c>
      <c r="L284" s="10" t="n"/>
      <c r="M284" s="11" t="n"/>
      <c r="N284" s="10" t="n">
        <v>0</v>
      </c>
      <c r="O284" s="11" t="n"/>
      <c r="P284" s="10" t="n">
        <v>10</v>
      </c>
    </row>
    <row r="285">
      <c r="A285" s="10" t="inlineStr">
        <is>
          <t>V-281</t>
        </is>
      </c>
      <c r="B285" s="10" t="n"/>
      <c r="C285" s="10" t="n"/>
      <c r="D285" s="10" t="n"/>
      <c r="E285" s="10" t="n"/>
      <c r="F285" s="10" t="n"/>
      <c r="G285" s="11" t="n"/>
      <c r="H285" s="11">
        <f>IF(OR(G285="",E285="Done"),"",G285+IFERROR(VLOOKUP(E285,Lists!$A$2:$B$6,2,FALSE),0))</f>
        <v/>
      </c>
      <c r="I285" s="10">
        <f>IF(OR(E285="",E285="Done",G285=""),"",$B$2-G285)</f>
        <v/>
      </c>
      <c r="J285" s="10">
        <f>IF(OR(E285="",E285="Done",H285=""),"",MAX(0,$B$2-H285))</f>
        <v/>
      </c>
      <c r="K285" s="10" t="inlineStr">
        <is>
          <t>Not started</t>
        </is>
      </c>
      <c r="L285" s="10" t="n"/>
      <c r="M285" s="11" t="n"/>
      <c r="N285" s="10" t="n">
        <v>0</v>
      </c>
      <c r="O285" s="11" t="n"/>
      <c r="P285" s="10" t="n">
        <v>10</v>
      </c>
    </row>
    <row r="286">
      <c r="A286" s="10" t="inlineStr">
        <is>
          <t>V-282</t>
        </is>
      </c>
      <c r="B286" s="10" t="n"/>
      <c r="C286" s="10" t="n"/>
      <c r="D286" s="10" t="n"/>
      <c r="E286" s="10" t="n"/>
      <c r="F286" s="10" t="n"/>
      <c r="G286" s="11" t="n"/>
      <c r="H286" s="11">
        <f>IF(OR(G286="",E286="Done"),"",G286+IFERROR(VLOOKUP(E286,Lists!$A$2:$B$6,2,FALSE),0))</f>
        <v/>
      </c>
      <c r="I286" s="10">
        <f>IF(OR(E286="",E286="Done",G286=""),"",$B$2-G286)</f>
        <v/>
      </c>
      <c r="J286" s="10">
        <f>IF(OR(E286="",E286="Done",H286=""),"",MAX(0,$B$2-H286))</f>
        <v/>
      </c>
      <c r="K286" s="10" t="inlineStr">
        <is>
          <t>Not started</t>
        </is>
      </c>
      <c r="L286" s="10" t="n"/>
      <c r="M286" s="11" t="n"/>
      <c r="N286" s="10" t="n">
        <v>0</v>
      </c>
      <c r="O286" s="11" t="n"/>
      <c r="P286" s="10" t="n">
        <v>10</v>
      </c>
    </row>
    <row r="287">
      <c r="A287" s="10" t="inlineStr">
        <is>
          <t>V-283</t>
        </is>
      </c>
      <c r="B287" s="10" t="n"/>
      <c r="C287" s="10" t="n"/>
      <c r="D287" s="10" t="n"/>
      <c r="E287" s="10" t="n"/>
      <c r="F287" s="10" t="n"/>
      <c r="G287" s="11" t="n"/>
      <c r="H287" s="11">
        <f>IF(OR(G287="",E287="Done"),"",G287+IFERROR(VLOOKUP(E287,Lists!$A$2:$B$6,2,FALSE),0))</f>
        <v/>
      </c>
      <c r="I287" s="10">
        <f>IF(OR(E287="",E287="Done",G287=""),"",$B$2-G287)</f>
        <v/>
      </c>
      <c r="J287" s="10">
        <f>IF(OR(E287="",E287="Done",H287=""),"",MAX(0,$B$2-H287))</f>
        <v/>
      </c>
      <c r="K287" s="10" t="inlineStr">
        <is>
          <t>Not started</t>
        </is>
      </c>
      <c r="L287" s="10" t="n"/>
      <c r="M287" s="11" t="n"/>
      <c r="N287" s="10" t="n">
        <v>0</v>
      </c>
      <c r="O287" s="11" t="n"/>
      <c r="P287" s="10" t="n">
        <v>10</v>
      </c>
    </row>
    <row r="288">
      <c r="A288" s="10" t="inlineStr">
        <is>
          <t>V-284</t>
        </is>
      </c>
      <c r="B288" s="10" t="n"/>
      <c r="C288" s="10" t="n"/>
      <c r="D288" s="10" t="n"/>
      <c r="E288" s="10" t="n"/>
      <c r="F288" s="10" t="n"/>
      <c r="G288" s="11" t="n"/>
      <c r="H288" s="11">
        <f>IF(OR(G288="",E288="Done"),"",G288+IFERROR(VLOOKUP(E288,Lists!$A$2:$B$6,2,FALSE),0))</f>
        <v/>
      </c>
      <c r="I288" s="10">
        <f>IF(OR(E288="",E288="Done",G288=""),"",$B$2-G288)</f>
        <v/>
      </c>
      <c r="J288" s="10">
        <f>IF(OR(E288="",E288="Done",H288=""),"",MAX(0,$B$2-H288))</f>
        <v/>
      </c>
      <c r="K288" s="10" t="inlineStr">
        <is>
          <t>Not started</t>
        </is>
      </c>
      <c r="L288" s="10" t="n"/>
      <c r="M288" s="11" t="n"/>
      <c r="N288" s="10" t="n">
        <v>0</v>
      </c>
      <c r="O288" s="11" t="n"/>
      <c r="P288" s="10" t="n">
        <v>10</v>
      </c>
    </row>
    <row r="289">
      <c r="A289" s="10" t="inlineStr">
        <is>
          <t>V-285</t>
        </is>
      </c>
      <c r="B289" s="10" t="n"/>
      <c r="C289" s="10" t="n"/>
      <c r="D289" s="10" t="n"/>
      <c r="E289" s="10" t="n"/>
      <c r="F289" s="10" t="n"/>
      <c r="G289" s="11" t="n"/>
      <c r="H289" s="11">
        <f>IF(OR(G289="",E289="Done"),"",G289+IFERROR(VLOOKUP(E289,Lists!$A$2:$B$6,2,FALSE),0))</f>
        <v/>
      </c>
      <c r="I289" s="10">
        <f>IF(OR(E289="",E289="Done",G289=""),"",$B$2-G289)</f>
        <v/>
      </c>
      <c r="J289" s="10">
        <f>IF(OR(E289="",E289="Done",H289=""),"",MAX(0,$B$2-H289))</f>
        <v/>
      </c>
      <c r="K289" s="10" t="inlineStr">
        <is>
          <t>Not started</t>
        </is>
      </c>
      <c r="L289" s="10" t="n"/>
      <c r="M289" s="11" t="n"/>
      <c r="N289" s="10" t="n">
        <v>0</v>
      </c>
      <c r="O289" s="11" t="n"/>
      <c r="P289" s="10" t="n">
        <v>10</v>
      </c>
    </row>
    <row r="290">
      <c r="A290" s="10" t="inlineStr">
        <is>
          <t>V-286</t>
        </is>
      </c>
      <c r="B290" s="10" t="n"/>
      <c r="C290" s="10" t="n"/>
      <c r="D290" s="10" t="n"/>
      <c r="E290" s="10" t="n"/>
      <c r="F290" s="10" t="n"/>
      <c r="G290" s="11" t="n"/>
      <c r="H290" s="11">
        <f>IF(OR(G290="",E290="Done"),"",G290+IFERROR(VLOOKUP(E290,Lists!$A$2:$B$6,2,FALSE),0))</f>
        <v/>
      </c>
      <c r="I290" s="10">
        <f>IF(OR(E290="",E290="Done",G290=""),"",$B$2-G290)</f>
        <v/>
      </c>
      <c r="J290" s="10">
        <f>IF(OR(E290="",E290="Done",H290=""),"",MAX(0,$B$2-H290))</f>
        <v/>
      </c>
      <c r="K290" s="10" t="inlineStr">
        <is>
          <t>Not started</t>
        </is>
      </c>
      <c r="L290" s="10" t="n"/>
      <c r="M290" s="11" t="n"/>
      <c r="N290" s="10" t="n">
        <v>0</v>
      </c>
      <c r="O290" s="11" t="n"/>
      <c r="P290" s="10" t="n">
        <v>10</v>
      </c>
    </row>
    <row r="291">
      <c r="A291" s="10" t="inlineStr">
        <is>
          <t>V-287</t>
        </is>
      </c>
      <c r="B291" s="10" t="n"/>
      <c r="C291" s="10" t="n"/>
      <c r="D291" s="10" t="n"/>
      <c r="E291" s="10" t="n"/>
      <c r="F291" s="10" t="n"/>
      <c r="G291" s="11" t="n"/>
      <c r="H291" s="11">
        <f>IF(OR(G291="",E291="Done"),"",G291+IFERROR(VLOOKUP(E291,Lists!$A$2:$B$6,2,FALSE),0))</f>
        <v/>
      </c>
      <c r="I291" s="10">
        <f>IF(OR(E291="",E291="Done",G291=""),"",$B$2-G291)</f>
        <v/>
      </c>
      <c r="J291" s="10">
        <f>IF(OR(E291="",E291="Done",H291=""),"",MAX(0,$B$2-H291))</f>
        <v/>
      </c>
      <c r="K291" s="10" t="inlineStr">
        <is>
          <t>Not started</t>
        </is>
      </c>
      <c r="L291" s="10" t="n"/>
      <c r="M291" s="11" t="n"/>
      <c r="N291" s="10" t="n">
        <v>0</v>
      </c>
      <c r="O291" s="11" t="n"/>
      <c r="P291" s="10" t="n">
        <v>10</v>
      </c>
    </row>
    <row r="292">
      <c r="A292" s="10" t="inlineStr">
        <is>
          <t>V-288</t>
        </is>
      </c>
      <c r="B292" s="10" t="n"/>
      <c r="C292" s="10" t="n"/>
      <c r="D292" s="10" t="n"/>
      <c r="E292" s="10" t="n"/>
      <c r="F292" s="10" t="n"/>
      <c r="G292" s="11" t="n"/>
      <c r="H292" s="11">
        <f>IF(OR(G292="",E292="Done"),"",G292+IFERROR(VLOOKUP(E292,Lists!$A$2:$B$6,2,FALSE),0))</f>
        <v/>
      </c>
      <c r="I292" s="10">
        <f>IF(OR(E292="",E292="Done",G292=""),"",$B$2-G292)</f>
        <v/>
      </c>
      <c r="J292" s="10">
        <f>IF(OR(E292="",E292="Done",H292=""),"",MAX(0,$B$2-H292))</f>
        <v/>
      </c>
      <c r="K292" s="10" t="inlineStr">
        <is>
          <t>Not started</t>
        </is>
      </c>
      <c r="L292" s="10" t="n"/>
      <c r="M292" s="11" t="n"/>
      <c r="N292" s="10" t="n">
        <v>0</v>
      </c>
      <c r="O292" s="11" t="n"/>
      <c r="P292" s="10" t="n">
        <v>10</v>
      </c>
    </row>
    <row r="293">
      <c r="A293" s="10" t="inlineStr">
        <is>
          <t>V-289</t>
        </is>
      </c>
      <c r="B293" s="10" t="n"/>
      <c r="C293" s="10" t="n"/>
      <c r="D293" s="10" t="n"/>
      <c r="E293" s="10" t="n"/>
      <c r="F293" s="10" t="n"/>
      <c r="G293" s="11" t="n"/>
      <c r="H293" s="11">
        <f>IF(OR(G293="",E293="Done"),"",G293+IFERROR(VLOOKUP(E293,Lists!$A$2:$B$6,2,FALSE),0))</f>
        <v/>
      </c>
      <c r="I293" s="10">
        <f>IF(OR(E293="",E293="Done",G293=""),"",$B$2-G293)</f>
        <v/>
      </c>
      <c r="J293" s="10">
        <f>IF(OR(E293="",E293="Done",H293=""),"",MAX(0,$B$2-H293))</f>
        <v/>
      </c>
      <c r="K293" s="10" t="inlineStr">
        <is>
          <t>Not started</t>
        </is>
      </c>
      <c r="L293" s="10" t="n"/>
      <c r="M293" s="11" t="n"/>
      <c r="N293" s="10" t="n">
        <v>0</v>
      </c>
      <c r="O293" s="11" t="n"/>
      <c r="P293" s="10" t="n">
        <v>10</v>
      </c>
    </row>
    <row r="294">
      <c r="A294" s="10" t="inlineStr">
        <is>
          <t>V-290</t>
        </is>
      </c>
      <c r="B294" s="10" t="n"/>
      <c r="C294" s="10" t="n"/>
      <c r="D294" s="10" t="n"/>
      <c r="E294" s="10" t="n"/>
      <c r="F294" s="10" t="n"/>
      <c r="G294" s="11" t="n"/>
      <c r="H294" s="11">
        <f>IF(OR(G294="",E294="Done"),"",G294+IFERROR(VLOOKUP(E294,Lists!$A$2:$B$6,2,FALSE),0))</f>
        <v/>
      </c>
      <c r="I294" s="10">
        <f>IF(OR(E294="",E294="Done",G294=""),"",$B$2-G294)</f>
        <v/>
      </c>
      <c r="J294" s="10">
        <f>IF(OR(E294="",E294="Done",H294=""),"",MAX(0,$B$2-H294))</f>
        <v/>
      </c>
      <c r="K294" s="10" t="inlineStr">
        <is>
          <t>Not started</t>
        </is>
      </c>
      <c r="L294" s="10" t="n"/>
      <c r="M294" s="11" t="n"/>
      <c r="N294" s="10" t="n">
        <v>0</v>
      </c>
      <c r="O294" s="11" t="n"/>
      <c r="P294" s="10" t="n">
        <v>10</v>
      </c>
    </row>
    <row r="295">
      <c r="A295" s="10" t="inlineStr">
        <is>
          <t>V-291</t>
        </is>
      </c>
      <c r="B295" s="10" t="n"/>
      <c r="C295" s="10" t="n"/>
      <c r="D295" s="10" t="n"/>
      <c r="E295" s="10" t="n"/>
      <c r="F295" s="10" t="n"/>
      <c r="G295" s="11" t="n"/>
      <c r="H295" s="11">
        <f>IF(OR(G295="",E295="Done"),"",G295+IFERROR(VLOOKUP(E295,Lists!$A$2:$B$6,2,FALSE),0))</f>
        <v/>
      </c>
      <c r="I295" s="10">
        <f>IF(OR(E295="",E295="Done",G295=""),"",$B$2-G295)</f>
        <v/>
      </c>
      <c r="J295" s="10">
        <f>IF(OR(E295="",E295="Done",H295=""),"",MAX(0,$B$2-H295))</f>
        <v/>
      </c>
      <c r="K295" s="10" t="inlineStr">
        <is>
          <t>Not started</t>
        </is>
      </c>
      <c r="L295" s="10" t="n"/>
      <c r="M295" s="11" t="n"/>
      <c r="N295" s="10" t="n">
        <v>0</v>
      </c>
      <c r="O295" s="11" t="n"/>
      <c r="P295" s="10" t="n">
        <v>10</v>
      </c>
    </row>
    <row r="296">
      <c r="A296" s="10" t="inlineStr">
        <is>
          <t>V-292</t>
        </is>
      </c>
      <c r="B296" s="10" t="n"/>
      <c r="C296" s="10" t="n"/>
      <c r="D296" s="10" t="n"/>
      <c r="E296" s="10" t="n"/>
      <c r="F296" s="10" t="n"/>
      <c r="G296" s="11" t="n"/>
      <c r="H296" s="11">
        <f>IF(OR(G296="",E296="Done"),"",G296+IFERROR(VLOOKUP(E296,Lists!$A$2:$B$6,2,FALSE),0))</f>
        <v/>
      </c>
      <c r="I296" s="10">
        <f>IF(OR(E296="",E296="Done",G296=""),"",$B$2-G296)</f>
        <v/>
      </c>
      <c r="J296" s="10">
        <f>IF(OR(E296="",E296="Done",H296=""),"",MAX(0,$B$2-H296))</f>
        <v/>
      </c>
      <c r="K296" s="10" t="inlineStr">
        <is>
          <t>Not started</t>
        </is>
      </c>
      <c r="L296" s="10" t="n"/>
      <c r="M296" s="11" t="n"/>
      <c r="N296" s="10" t="n">
        <v>0</v>
      </c>
      <c r="O296" s="11" t="n"/>
      <c r="P296" s="10" t="n">
        <v>10</v>
      </c>
    </row>
    <row r="297">
      <c r="A297" s="10" t="inlineStr">
        <is>
          <t>V-293</t>
        </is>
      </c>
      <c r="B297" s="10" t="n"/>
      <c r="C297" s="10" t="n"/>
      <c r="D297" s="10" t="n"/>
      <c r="E297" s="10" t="n"/>
      <c r="F297" s="10" t="n"/>
      <c r="G297" s="11" t="n"/>
      <c r="H297" s="11">
        <f>IF(OR(G297="",E297="Done"),"",G297+IFERROR(VLOOKUP(E297,Lists!$A$2:$B$6,2,FALSE),0))</f>
        <v/>
      </c>
      <c r="I297" s="10">
        <f>IF(OR(E297="",E297="Done",G297=""),"",$B$2-G297)</f>
        <v/>
      </c>
      <c r="J297" s="10">
        <f>IF(OR(E297="",E297="Done",H297=""),"",MAX(0,$B$2-H297))</f>
        <v/>
      </c>
      <c r="K297" s="10" t="inlineStr">
        <is>
          <t>Not started</t>
        </is>
      </c>
      <c r="L297" s="10" t="n"/>
      <c r="M297" s="11" t="n"/>
      <c r="N297" s="10" t="n">
        <v>0</v>
      </c>
      <c r="O297" s="11" t="n"/>
      <c r="P297" s="10" t="n">
        <v>10</v>
      </c>
    </row>
    <row r="298">
      <c r="A298" s="10" t="inlineStr">
        <is>
          <t>V-294</t>
        </is>
      </c>
      <c r="B298" s="10" t="n"/>
      <c r="C298" s="10" t="n"/>
      <c r="D298" s="10" t="n"/>
      <c r="E298" s="10" t="n"/>
      <c r="F298" s="10" t="n"/>
      <c r="G298" s="11" t="n"/>
      <c r="H298" s="11">
        <f>IF(OR(G298="",E298="Done"),"",G298+IFERROR(VLOOKUP(E298,Lists!$A$2:$B$6,2,FALSE),0))</f>
        <v/>
      </c>
      <c r="I298" s="10">
        <f>IF(OR(E298="",E298="Done",G298=""),"",$B$2-G298)</f>
        <v/>
      </c>
      <c r="J298" s="10">
        <f>IF(OR(E298="",E298="Done",H298=""),"",MAX(0,$B$2-H298))</f>
        <v/>
      </c>
      <c r="K298" s="10" t="inlineStr">
        <is>
          <t>Not started</t>
        </is>
      </c>
      <c r="L298" s="10" t="n"/>
      <c r="M298" s="11" t="n"/>
      <c r="N298" s="10" t="n">
        <v>0</v>
      </c>
      <c r="O298" s="11" t="n"/>
      <c r="P298" s="10" t="n">
        <v>10</v>
      </c>
    </row>
    <row r="299">
      <c r="A299" s="10" t="inlineStr">
        <is>
          <t>V-295</t>
        </is>
      </c>
      <c r="B299" s="10" t="n"/>
      <c r="C299" s="10" t="n"/>
      <c r="D299" s="10" t="n"/>
      <c r="E299" s="10" t="n"/>
      <c r="F299" s="10" t="n"/>
      <c r="G299" s="11" t="n"/>
      <c r="H299" s="11">
        <f>IF(OR(G299="",E299="Done"),"",G299+IFERROR(VLOOKUP(E299,Lists!$A$2:$B$6,2,FALSE),0))</f>
        <v/>
      </c>
      <c r="I299" s="10">
        <f>IF(OR(E299="",E299="Done",G299=""),"",$B$2-G299)</f>
        <v/>
      </c>
      <c r="J299" s="10">
        <f>IF(OR(E299="",E299="Done",H299=""),"",MAX(0,$B$2-H299))</f>
        <v/>
      </c>
      <c r="K299" s="10" t="inlineStr">
        <is>
          <t>Not started</t>
        </is>
      </c>
      <c r="L299" s="10" t="n"/>
      <c r="M299" s="11" t="n"/>
      <c r="N299" s="10" t="n">
        <v>0</v>
      </c>
      <c r="O299" s="11" t="n"/>
      <c r="P299" s="10" t="n">
        <v>10</v>
      </c>
    </row>
    <row r="300">
      <c r="A300" s="10" t="inlineStr">
        <is>
          <t>V-296</t>
        </is>
      </c>
      <c r="B300" s="10" t="n"/>
      <c r="C300" s="10" t="n"/>
      <c r="D300" s="10" t="n"/>
      <c r="E300" s="10" t="n"/>
      <c r="F300" s="10" t="n"/>
      <c r="G300" s="11" t="n"/>
      <c r="H300" s="11">
        <f>IF(OR(G300="",E300="Done"),"",G300+IFERROR(VLOOKUP(E300,Lists!$A$2:$B$6,2,FALSE),0))</f>
        <v/>
      </c>
      <c r="I300" s="10">
        <f>IF(OR(E300="",E300="Done",G300=""),"",$B$2-G300)</f>
        <v/>
      </c>
      <c r="J300" s="10">
        <f>IF(OR(E300="",E300="Done",H300=""),"",MAX(0,$B$2-H300))</f>
        <v/>
      </c>
      <c r="K300" s="10" t="inlineStr">
        <is>
          <t>Not started</t>
        </is>
      </c>
      <c r="L300" s="10" t="n"/>
      <c r="M300" s="11" t="n"/>
      <c r="N300" s="10" t="n">
        <v>0</v>
      </c>
      <c r="O300" s="11" t="n"/>
      <c r="P300" s="10" t="n">
        <v>10</v>
      </c>
    </row>
    <row r="301">
      <c r="A301" s="10" t="inlineStr">
        <is>
          <t>V-297</t>
        </is>
      </c>
      <c r="B301" s="10" t="n"/>
      <c r="C301" s="10" t="n"/>
      <c r="D301" s="10" t="n"/>
      <c r="E301" s="10" t="n"/>
      <c r="F301" s="10" t="n"/>
      <c r="G301" s="11" t="n"/>
      <c r="H301" s="11">
        <f>IF(OR(G301="",E301="Done"),"",G301+IFERROR(VLOOKUP(E301,Lists!$A$2:$B$6,2,FALSE),0))</f>
        <v/>
      </c>
      <c r="I301" s="10">
        <f>IF(OR(E301="",E301="Done",G301=""),"",$B$2-G301)</f>
        <v/>
      </c>
      <c r="J301" s="10">
        <f>IF(OR(E301="",E301="Done",H301=""),"",MAX(0,$B$2-H301))</f>
        <v/>
      </c>
      <c r="K301" s="10" t="inlineStr">
        <is>
          <t>Not started</t>
        </is>
      </c>
      <c r="L301" s="10" t="n"/>
      <c r="M301" s="11" t="n"/>
      <c r="N301" s="10" t="n">
        <v>0</v>
      </c>
      <c r="O301" s="11" t="n"/>
      <c r="P301" s="10" t="n">
        <v>10</v>
      </c>
    </row>
    <row r="302">
      <c r="A302" s="10" t="inlineStr">
        <is>
          <t>V-298</t>
        </is>
      </c>
      <c r="B302" s="10" t="n"/>
      <c r="C302" s="10" t="n"/>
      <c r="D302" s="10" t="n"/>
      <c r="E302" s="10" t="n"/>
      <c r="F302" s="10" t="n"/>
      <c r="G302" s="11" t="n"/>
      <c r="H302" s="11">
        <f>IF(OR(G302="",E302="Done"),"",G302+IFERROR(VLOOKUP(E302,Lists!$A$2:$B$6,2,FALSE),0))</f>
        <v/>
      </c>
      <c r="I302" s="10">
        <f>IF(OR(E302="",E302="Done",G302=""),"",$B$2-G302)</f>
        <v/>
      </c>
      <c r="J302" s="10">
        <f>IF(OR(E302="",E302="Done",H302=""),"",MAX(0,$B$2-H302))</f>
        <v/>
      </c>
      <c r="K302" s="10" t="inlineStr">
        <is>
          <t>Not started</t>
        </is>
      </c>
      <c r="L302" s="10" t="n"/>
      <c r="M302" s="11" t="n"/>
      <c r="N302" s="10" t="n">
        <v>0</v>
      </c>
      <c r="O302" s="11" t="n"/>
      <c r="P302" s="10" t="n">
        <v>10</v>
      </c>
    </row>
    <row r="303">
      <c r="A303" s="10" t="inlineStr">
        <is>
          <t>V-299</t>
        </is>
      </c>
      <c r="B303" s="10" t="n"/>
      <c r="C303" s="10" t="n"/>
      <c r="D303" s="10" t="n"/>
      <c r="E303" s="10" t="n"/>
      <c r="F303" s="10" t="n"/>
      <c r="G303" s="11" t="n"/>
      <c r="H303" s="11">
        <f>IF(OR(G303="",E303="Done"),"",G303+IFERROR(VLOOKUP(E303,Lists!$A$2:$B$6,2,FALSE),0))</f>
        <v/>
      </c>
      <c r="I303" s="10">
        <f>IF(OR(E303="",E303="Done",G303=""),"",$B$2-G303)</f>
        <v/>
      </c>
      <c r="J303" s="10">
        <f>IF(OR(E303="",E303="Done",H303=""),"",MAX(0,$B$2-H303))</f>
        <v/>
      </c>
      <c r="K303" s="10" t="inlineStr">
        <is>
          <t>Not started</t>
        </is>
      </c>
      <c r="L303" s="10" t="n"/>
      <c r="M303" s="11" t="n"/>
      <c r="N303" s="10" t="n">
        <v>0</v>
      </c>
      <c r="O303" s="11" t="n"/>
      <c r="P303" s="10" t="n">
        <v>10</v>
      </c>
    </row>
    <row r="304">
      <c r="A304" s="10" t="inlineStr">
        <is>
          <t>V-300</t>
        </is>
      </c>
      <c r="B304" s="10" t="n"/>
      <c r="C304" s="10" t="n"/>
      <c r="D304" s="10" t="n"/>
      <c r="E304" s="10" t="n"/>
      <c r="F304" s="10" t="n"/>
      <c r="G304" s="11" t="n"/>
      <c r="H304" s="11">
        <f>IF(OR(G304="",E304="Done"),"",G304+IFERROR(VLOOKUP(E304,Lists!$A$2:$B$6,2,FALSE),0))</f>
        <v/>
      </c>
      <c r="I304" s="10">
        <f>IF(OR(E304="",E304="Done",G304=""),"",$B$2-G304)</f>
        <v/>
      </c>
      <c r="J304" s="10">
        <f>IF(OR(E304="",E304="Done",H304=""),"",MAX(0,$B$2-H304))</f>
        <v/>
      </c>
      <c r="K304" s="10" t="inlineStr">
        <is>
          <t>Not started</t>
        </is>
      </c>
      <c r="L304" s="10" t="n"/>
      <c r="M304" s="11" t="n"/>
      <c r="N304" s="10" t="n">
        <v>0</v>
      </c>
      <c r="O304" s="11" t="n"/>
      <c r="P304" s="10" t="n">
        <v>10</v>
      </c>
    </row>
  </sheetData>
  <autoFilter ref="A4:P304"/>
  <conditionalFormatting sqref="K5:K304">
    <cfRule type="cellIs" priority="1" operator="equal" dxfId="1">
      <formula>"Blocked"</formula>
    </cfRule>
    <cfRule type="cellIs" priority="2" operator="equal" dxfId="2">
      <formula>"At risk"</formula>
    </cfRule>
    <cfRule type="cellIs" priority="3" operator="equal" dxfId="3">
      <formula>"Done"</formula>
    </cfRule>
  </conditionalFormatting>
  <conditionalFormatting sqref="J5:J304">
    <cfRule type="cellIs" priority="4" operator="greaterThan" dxfId="1">
      <formula>0</formula>
    </cfRule>
  </conditionalFormatting>
  <conditionalFormatting sqref="N5:N304">
    <cfRule type="cellIs" priority="5" operator="greaterThanOrEqual" dxfId="2">
      <formula>2</formula>
    </cfRule>
  </conditionalFormatting>
  <conditionalFormatting sqref="I5:I304">
    <cfRule type="expression" priority="6" dxfId="2">
      <formula>AND(ISNUMBER(I5),I5&gt;2)</formula>
    </cfRule>
  </conditionalFormatting>
  <dataValidations count="4">
    <dataValidation sqref="E5:E304" showDropDown="0" showInputMessage="0" showErrorMessage="0" allowBlank="1" type="list">
      <formula1>"1. Brief &amp; Content,2. Script,3. Visual Assets,4. Motion,5. Final Video,Done"</formula1>
    </dataValidation>
    <dataValidation sqref="K5:K304" showDropDown="0" showInputMessage="0" showErrorMessage="0" allowBlank="1" type="list">
      <formula1>"Not started,On track,At risk,Blocked,Done"</formula1>
    </dataValidation>
    <dataValidation sqref="D5:D304" showDropDown="0" showInputMessage="0" showErrorMessage="0" allowBlank="1" type="list">
      <formula1>"A,B,C"</formula1>
    </dataValidation>
    <dataValidation sqref="L5:L304" showDropDown="0" showInputMessage="0" showErrorMessage="0" allowBlank="1" type="list">
      <formula1>=Lists!$D$2:$D$8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0" customWidth="1" min="4" max="4"/>
  </cols>
  <sheetData>
    <row r="1">
      <c r="A1" t="inlineStr">
        <is>
          <t>Stage</t>
        </is>
      </c>
      <c r="B1" t="inlineStr">
        <is>
          <t>SLA (days)</t>
        </is>
      </c>
      <c r="D1" t="inlineStr">
        <is>
          <t>Blocker reasons</t>
        </is>
      </c>
    </row>
    <row r="2">
      <c r="A2" t="inlineStr">
        <is>
          <t>1. Brief &amp; Content</t>
        </is>
      </c>
      <c r="B2" t="n">
        <v>1</v>
      </c>
      <c r="D2" t="inlineStr">
        <is>
          <t>Content misalignment / rework</t>
        </is>
      </c>
    </row>
    <row r="3">
      <c r="A3" t="inlineStr">
        <is>
          <t>2. Script</t>
        </is>
      </c>
      <c r="B3" t="n">
        <v>2</v>
      </c>
      <c r="D3" t="inlineStr">
        <is>
          <t>Waiting for input from previous stage</t>
        </is>
      </c>
    </row>
    <row r="4">
      <c r="A4" t="inlineStr">
        <is>
          <t>3. Visual Assets</t>
        </is>
      </c>
      <c r="B4" t="n">
        <v>1</v>
      </c>
      <c r="D4" t="inlineStr">
        <is>
          <t>Change request after lock</t>
        </is>
      </c>
    </row>
    <row r="5">
      <c r="A5" t="inlineStr">
        <is>
          <t>4. Motion</t>
        </is>
      </c>
      <c r="B5" t="n">
        <v>2</v>
      </c>
      <c r="D5" t="inlineStr">
        <is>
          <t>Audio / video sync</t>
        </is>
      </c>
    </row>
    <row r="6">
      <c r="A6" t="inlineStr">
        <is>
          <t>5. Final Video</t>
        </is>
      </c>
      <c r="B6" t="n">
        <v>2</v>
      </c>
      <c r="D6" t="inlineStr">
        <is>
          <t>Capacity / not started</t>
        </is>
      </c>
    </row>
    <row r="7">
      <c r="D7" t="inlineStr">
        <is>
          <t>Tool / technical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2026-10-11T11:35:48Z</dcterms:created>
  <dcterms:modified xmlns:dcterms="http://purl.org/dc/terms/" xmlns:xsi="http://www.w3.org/2001/XMLSchema-instance" xsi:type="dcterms:W3CDTF">2026-10-11T11:35:48Z</dcterms:modified>
</cp:coreProperties>
</file>